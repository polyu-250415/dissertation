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380" activeTab="1"/>
  </bookViews>
  <sheets>
    <sheet name="construction" sheetId="1" r:id="rId1"/>
    <sheet name="sector_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<sst xmlns="http://schemas.openxmlformats.org/spreadsheetml/2006/main" count="95" uniqueCount="33">
  <si>
    <t>Case ID</t>
  </si>
  <si>
    <t>Initial KG
(Expandation by Multiple Sources)</t>
  </si>
  <si>
    <t>1st Round
(Schema Check)</t>
  </si>
  <si>
    <t>2nd Round
(FactCheck )</t>
  </si>
  <si>
    <t>3rd Round
(Entity Alignment)</t>
  </si>
  <si>
    <t>Accepted
Rate</t>
  </si>
  <si>
    <t>4th Round
(DTC )</t>
  </si>
  <si>
    <t>Entities</t>
  </si>
  <si>
    <t>Deepseek</t>
  </si>
  <si>
    <t>Gemini</t>
  </si>
  <si>
    <t>Edges</t>
  </si>
  <si>
    <t>case_id</t>
  </si>
  <si>
    <t>Initial_deepseek_nodes</t>
  </si>
  <si>
    <t>Initial_deepseek_relations</t>
  </si>
  <si>
    <t>Initial_gemini_nodes</t>
  </si>
  <si>
    <t>Initial_gemini_relations</t>
  </si>
  <si>
    <t>r1_nodes</t>
  </si>
  <si>
    <t>r1_relations</t>
  </si>
  <si>
    <t>r2_nodes</t>
  </si>
  <si>
    <t>r2_relations</t>
  </si>
  <si>
    <t>r3_nodes</t>
  </si>
  <si>
    <t>r3_relations</t>
  </si>
  <si>
    <t>node_accepted_rate</t>
  </si>
  <si>
    <t>relation_accepted_rate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</si>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</sst>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Times New Roman Bold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justify" vertical="top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6"/>
  <sheetViews>
    <sheetView zoomScale="76" zoomScaleNormal="76" workbookViewId="0">
      <selection activeCell="B2" sqref="B2:J30"/>
    </sheetView>
  </sheetViews>
  <sheetFormatPr defaultColWidth="9" defaultRowHeight="16.8"/>
  <cols>
    <col min="5" max="5" width="11.7109375" customWidth="1"/>
    <col min="6" max="6" width="19.7890625" customWidth="1"/>
    <col min="7" max="7" width="19.140625" customWidth="1"/>
    <col min="8" max="8" width="17.46875" customWidth="1"/>
    <col min="9" max="9" width="9.421875" customWidth="1"/>
    <col min="10" max="10" width="11.8203125" customWidth="1"/>
  </cols>
  <sheetData>
    <row r="1" ht="17.55"/>
    <row r="2" ht="34" customHeight="1" spans="2:10">
      <c r="B2" s="2" t="s">
        <v>0</v>
      </c>
      <c r="C2" s="3" t="s">
        <v>1</v>
      </c>
      <c r="D2" s="4"/>
      <c r="E2" s="5"/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</row>
    <row r="3" ht="17.75" spans="2:10">
      <c r="B3" s="6" t="str">
        <f>sector_data!A2</f>
        <v>c101</v>
      </c>
      <c r="C3" s="7" t="s">
        <v>7</v>
      </c>
      <c r="D3" s="8" t="s">
        <v>8</v>
      </c>
      <c r="E3" s="9">
        <f>sector_data!B2</f>
        <v>24</v>
      </c>
      <c r="F3" s="10">
        <f>sector_data!F2</f>
        <v>46</v>
      </c>
      <c r="G3" s="10">
        <f>sector_data!H2</f>
        <v>46</v>
      </c>
      <c r="H3" s="10">
        <f>sector_data!J2</f>
        <v>36</v>
      </c>
      <c r="I3" s="10">
        <f>sector_data!L2</f>
        <v>0.78</v>
      </c>
      <c r="J3" s="11">
        <v>0.85</v>
      </c>
    </row>
    <row r="4" ht="17.75" spans="2:10">
      <c r="B4" s="12"/>
      <c r="C4" s="13"/>
      <c r="D4" s="8" t="s">
        <v>9</v>
      </c>
      <c r="E4" s="9">
        <f>sector_data!D2</f>
        <v>22</v>
      </c>
      <c r="F4" s="9"/>
      <c r="G4" s="9"/>
      <c r="H4" s="9"/>
      <c r="I4" s="9"/>
      <c r="J4" s="10"/>
    </row>
    <row r="5" ht="17.75" spans="2:10">
      <c r="B5" s="12"/>
      <c r="C5" s="7" t="s">
        <v>10</v>
      </c>
      <c r="D5" s="8" t="s">
        <v>8</v>
      </c>
      <c r="E5" s="9">
        <f>sector_data!C2</f>
        <v>59</v>
      </c>
      <c r="F5" s="10">
        <f>sector_data!G2</f>
        <v>65</v>
      </c>
      <c r="G5" s="10">
        <f>sector_data!I2</f>
        <v>58</v>
      </c>
      <c r="H5" s="10">
        <f>sector_data!K2</f>
        <v>58</v>
      </c>
      <c r="I5" s="10">
        <f>sector_data!M2</f>
        <v>0.69</v>
      </c>
      <c r="J5" s="10"/>
    </row>
    <row r="6" ht="17.75" spans="2:10">
      <c r="B6" s="14"/>
      <c r="C6" s="13"/>
      <c r="D6" s="8" t="s">
        <v>9</v>
      </c>
      <c r="E6" s="9">
        <f>sector_data!E2</f>
        <v>25</v>
      </c>
      <c r="F6" s="9"/>
      <c r="G6" s="9"/>
      <c r="H6" s="9"/>
      <c r="I6" s="9"/>
      <c r="J6" s="9"/>
    </row>
    <row r="7" ht="17.75" spans="2:10">
      <c r="B7" s="12" t="str">
        <f>sector_data!A3</f>
        <v>c102</v>
      </c>
      <c r="C7" s="7" t="s">
        <v>7</v>
      </c>
      <c r="D7" s="8" t="s">
        <v>8</v>
      </c>
      <c r="E7" s="9">
        <f>sector_data!B3</f>
        <v>45</v>
      </c>
      <c r="F7" s="10">
        <f>sector_data!F3</f>
        <v>56</v>
      </c>
      <c r="G7" s="10">
        <f>sector_data!H3</f>
        <v>53</v>
      </c>
      <c r="H7" s="10">
        <f>sector_data!J3</f>
        <v>51</v>
      </c>
      <c r="I7" s="10">
        <f>sector_data!L3</f>
        <v>0.85</v>
      </c>
      <c r="J7" s="11">
        <v>0.85</v>
      </c>
    </row>
    <row r="8" ht="17.75" spans="2:10">
      <c r="B8" s="12"/>
      <c r="C8" s="13"/>
      <c r="D8" s="8" t="s">
        <v>9</v>
      </c>
      <c r="E8" s="9">
        <f>sector_data!D3</f>
        <v>15</v>
      </c>
      <c r="F8" s="9"/>
      <c r="G8" s="9"/>
      <c r="H8" s="9"/>
      <c r="I8" s="9"/>
      <c r="J8" s="10"/>
    </row>
    <row r="9" ht="17.75" spans="2:10">
      <c r="B9" s="12"/>
      <c r="C9" s="7" t="s">
        <v>10</v>
      </c>
      <c r="D9" s="8" t="s">
        <v>8</v>
      </c>
      <c r="E9" s="9">
        <f>sector_data!C3</f>
        <v>71</v>
      </c>
      <c r="F9" s="10">
        <f>sector_data!G3</f>
        <v>90</v>
      </c>
      <c r="G9" s="10">
        <f>sector_data!I3</f>
        <v>67</v>
      </c>
      <c r="H9" s="10">
        <f>sector_data!K3</f>
        <v>67</v>
      </c>
      <c r="I9" s="10">
        <f>sector_data!M3</f>
        <v>0.71</v>
      </c>
      <c r="J9" s="10"/>
    </row>
    <row r="10" ht="17.75" spans="2:10">
      <c r="B10" s="14"/>
      <c r="C10" s="13"/>
      <c r="D10" s="8" t="s">
        <v>9</v>
      </c>
      <c r="E10" s="9">
        <f>sector_data!E3</f>
        <v>24</v>
      </c>
      <c r="F10" s="9"/>
      <c r="G10" s="9"/>
      <c r="H10" s="9"/>
      <c r="I10" s="9"/>
      <c r="J10" s="9"/>
    </row>
    <row r="11" ht="17.75" spans="2:10">
      <c r="B11" s="12" t="str">
        <f>sector_data!A4</f>
        <v>c103</v>
      </c>
      <c r="C11" s="7" t="s">
        <v>7</v>
      </c>
      <c r="D11" s="8" t="s">
        <v>8</v>
      </c>
      <c r="E11" s="9">
        <f>sector_data!B4</f>
        <v>51</v>
      </c>
      <c r="F11" s="10">
        <f>sector_data!F4</f>
        <v>71</v>
      </c>
      <c r="G11" s="10">
        <f>sector_data!H4</f>
        <v>68</v>
      </c>
      <c r="H11" s="10">
        <f>sector_data!J4</f>
        <v>53</v>
      </c>
      <c r="I11" s="10">
        <f>sector_data!L4</f>
        <v>0.68</v>
      </c>
      <c r="J11" s="11">
        <v>0.85</v>
      </c>
    </row>
    <row r="12" ht="17.75" spans="2:10">
      <c r="B12" s="12"/>
      <c r="C12" s="13"/>
      <c r="D12" s="8" t="s">
        <v>9</v>
      </c>
      <c r="E12" s="9">
        <f>sector_data!D4</f>
        <v>27</v>
      </c>
      <c r="F12" s="9"/>
      <c r="G12" s="9"/>
      <c r="H12" s="9"/>
      <c r="I12" s="9"/>
      <c r="J12" s="10"/>
    </row>
    <row r="13" ht="17.75" spans="2:10">
      <c r="B13" s="12"/>
      <c r="C13" s="7" t="s">
        <v>10</v>
      </c>
      <c r="D13" s="8" t="s">
        <v>8</v>
      </c>
      <c r="E13" s="9">
        <f>sector_data!C4</f>
        <v>64</v>
      </c>
      <c r="F13" s="10">
        <f>sector_data!G4</f>
        <v>90</v>
      </c>
      <c r="G13" s="10">
        <f>sector_data!I4</f>
        <v>77</v>
      </c>
      <c r="H13" s="10">
        <f>sector_data!K4</f>
        <v>74</v>
      </c>
      <c r="I13" s="10">
        <f>sector_data!M4</f>
        <v>0.76</v>
      </c>
      <c r="J13" s="10"/>
    </row>
    <row r="14" ht="17.75" spans="2:10">
      <c r="B14" s="14"/>
      <c r="C14" s="13"/>
      <c r="D14" s="8" t="s">
        <v>9</v>
      </c>
      <c r="E14" s="9">
        <f>sector_data!E4</f>
        <v>34</v>
      </c>
      <c r="F14" s="9"/>
      <c r="G14" s="9"/>
      <c r="H14" s="9"/>
      <c r="I14" s="9"/>
      <c r="J14" s="9"/>
    </row>
    <row r="15" ht="17.75" spans="2:10">
      <c r="B15" s="12" t="str">
        <f>sector_data!A5</f>
        <v>c104</v>
      </c>
      <c r="C15" s="7" t="s">
        <v>7</v>
      </c>
      <c r="D15" s="8" t="s">
        <v>8</v>
      </c>
      <c r="E15" s="9">
        <f>sector_data!B5</f>
        <v>42</v>
      </c>
      <c r="F15" s="10">
        <f>sector_data!F5</f>
        <v>56</v>
      </c>
      <c r="G15" s="10">
        <f>sector_data!H5</f>
        <v>48</v>
      </c>
      <c r="H15" s="10">
        <f>sector_data!J5</f>
        <v>39</v>
      </c>
      <c r="I15" s="10">
        <f>sector_data!L5</f>
        <v>0.62</v>
      </c>
      <c r="J15" s="11">
        <v>0.85</v>
      </c>
    </row>
    <row r="16" ht="17.75" spans="2:10">
      <c r="B16" s="12"/>
      <c r="C16" s="13"/>
      <c r="D16" s="8" t="s">
        <v>9</v>
      </c>
      <c r="E16" s="9">
        <f>sector_data!D5</f>
        <v>21</v>
      </c>
      <c r="F16" s="9"/>
      <c r="G16" s="9"/>
      <c r="H16" s="9"/>
      <c r="I16" s="9"/>
      <c r="J16" s="10"/>
    </row>
    <row r="17" ht="17.75" spans="2:10">
      <c r="B17" s="12"/>
      <c r="C17" s="7" t="s">
        <v>10</v>
      </c>
      <c r="D17" s="8" t="s">
        <v>8</v>
      </c>
      <c r="E17" s="9">
        <f>sector_data!C5</f>
        <v>59</v>
      </c>
      <c r="F17" s="10">
        <f>sector_data!G5</f>
        <v>90</v>
      </c>
      <c r="G17" s="10">
        <f>sector_data!I5</f>
        <v>59</v>
      </c>
      <c r="H17" s="10">
        <f>sector_data!K5</f>
        <v>47</v>
      </c>
      <c r="I17" s="10">
        <f>sector_data!M5</f>
        <v>0.52</v>
      </c>
      <c r="J17" s="10"/>
    </row>
    <row r="18" ht="17.75" spans="2:10">
      <c r="B18" s="14"/>
      <c r="C18" s="13"/>
      <c r="D18" s="8" t="s">
        <v>9</v>
      </c>
      <c r="E18" s="9">
        <f>sector_data!E5</f>
        <v>31</v>
      </c>
      <c r="F18" s="9"/>
      <c r="G18" s="9"/>
      <c r="H18" s="9"/>
      <c r="I18" s="9"/>
      <c r="J18" s="9"/>
    </row>
    <row r="19" ht="17.75" spans="2:10">
      <c r="B19" s="12" t="str">
        <f>sector_data!A6</f>
        <v>c105</v>
      </c>
      <c r="C19" s="7" t="s">
        <v>7</v>
      </c>
      <c r="D19" s="8" t="s">
        <v>8</v>
      </c>
      <c r="E19" s="9">
        <f>sector_data!B6</f>
        <v>33</v>
      </c>
      <c r="F19" s="10">
        <f>sector_data!F6</f>
        <v>44</v>
      </c>
      <c r="G19" s="10">
        <f>sector_data!H6</f>
        <v>39</v>
      </c>
      <c r="H19" s="10">
        <f>sector_data!J6</f>
        <v>30</v>
      </c>
      <c r="I19" s="10">
        <f>sector_data!L6</f>
        <v>0.67</v>
      </c>
      <c r="J19" s="11">
        <v>0.85</v>
      </c>
    </row>
    <row r="20" ht="17.75" spans="2:10">
      <c r="B20" s="12"/>
      <c r="C20" s="13"/>
      <c r="D20" s="8" t="s">
        <v>9</v>
      </c>
      <c r="E20" s="9">
        <f>sector_data!D6</f>
        <v>12</v>
      </c>
      <c r="F20" s="9"/>
      <c r="G20" s="9"/>
      <c r="H20" s="9"/>
      <c r="I20" s="9"/>
      <c r="J20" s="10"/>
    </row>
    <row r="21" ht="17.75" spans="2:10">
      <c r="B21" s="12"/>
      <c r="C21" s="7" t="s">
        <v>10</v>
      </c>
      <c r="D21" s="8" t="s">
        <v>8</v>
      </c>
      <c r="E21" s="9">
        <f>sector_data!C6</f>
        <v>51</v>
      </c>
      <c r="F21" s="10">
        <f>sector_data!G6</f>
        <v>64</v>
      </c>
      <c r="G21" s="10">
        <f>sector_data!I6</f>
        <v>51</v>
      </c>
      <c r="H21" s="10">
        <f>sector_data!K6</f>
        <v>47</v>
      </c>
      <c r="I21" s="10">
        <f>sector_data!M6</f>
        <v>0.71</v>
      </c>
      <c r="J21" s="10"/>
    </row>
    <row r="22" ht="17.75" spans="2:10">
      <c r="B22" s="14"/>
      <c r="C22" s="13"/>
      <c r="D22" s="8" t="s">
        <v>9</v>
      </c>
      <c r="E22" s="9">
        <f>sector_data!E6</f>
        <v>15</v>
      </c>
      <c r="F22" s="9"/>
      <c r="G22" s="9"/>
      <c r="H22" s="9"/>
      <c r="I22" s="9"/>
      <c r="J22" s="9"/>
    </row>
    <row r="23" ht="17.75" spans="2:10">
      <c r="B23" s="12" t="str">
        <f>sector_data!A7</f>
        <v>c106</v>
      </c>
      <c r="C23" s="7" t="s">
        <v>7</v>
      </c>
      <c r="D23" s="8" t="s">
        <v>8</v>
      </c>
      <c r="E23" s="9">
        <f>sector_data!B7</f>
        <v>0</v>
      </c>
      <c r="F23" s="10">
        <f>sector_data!F7</f>
        <v>26</v>
      </c>
      <c r="G23" s="10">
        <f>sector_data!H7</f>
        <v>24</v>
      </c>
      <c r="H23" s="10">
        <f>sector_data!J7</f>
        <v>24</v>
      </c>
      <c r="I23" s="10">
        <f>sector_data!L7</f>
        <v>0.92</v>
      </c>
      <c r="J23" s="11">
        <v>0.85</v>
      </c>
    </row>
    <row r="24" ht="17.75" spans="2:10">
      <c r="B24" s="12"/>
      <c r="C24" s="13"/>
      <c r="D24" s="8" t="s">
        <v>9</v>
      </c>
      <c r="E24" s="9">
        <f>sector_data!D7</f>
        <v>26</v>
      </c>
      <c r="F24" s="9"/>
      <c r="G24" s="9"/>
      <c r="H24" s="9"/>
      <c r="I24" s="9"/>
      <c r="J24" s="10"/>
    </row>
    <row r="25" ht="17.75" spans="2:10">
      <c r="B25" s="12"/>
      <c r="C25" s="7" t="s">
        <v>10</v>
      </c>
      <c r="D25" s="8" t="s">
        <v>8</v>
      </c>
      <c r="E25" s="9">
        <f>sector_data!C7</f>
        <v>0</v>
      </c>
      <c r="F25" s="10">
        <f>sector_data!G7</f>
        <v>23</v>
      </c>
      <c r="G25" s="10">
        <f>sector_data!I7</f>
        <v>19</v>
      </c>
      <c r="H25" s="10">
        <f>sector_data!K7</f>
        <v>19</v>
      </c>
      <c r="I25" s="10">
        <f>sector_data!M7</f>
        <v>0.7</v>
      </c>
      <c r="J25" s="10"/>
    </row>
    <row r="26" ht="17.75" spans="2:10">
      <c r="B26" s="14"/>
      <c r="C26" s="13"/>
      <c r="D26" s="8" t="s">
        <v>9</v>
      </c>
      <c r="E26" s="9">
        <f>sector_data!E7</f>
        <v>27</v>
      </c>
      <c r="F26" s="9"/>
      <c r="G26" s="9"/>
      <c r="H26" s="9"/>
      <c r="I26" s="9"/>
      <c r="J26" s="9"/>
    </row>
    <row r="27" ht="17.75" spans="2:10">
      <c r="B27" s="12" t="str">
        <f>sector_data!A8</f>
        <v>c107</v>
      </c>
      <c r="C27" s="7" t="s">
        <v>7</v>
      </c>
      <c r="D27" s="8" t="s">
        <v>8</v>
      </c>
      <c r="E27" s="9">
        <f>sector_data!B8</f>
        <v>44</v>
      </c>
      <c r="F27" s="10">
        <f>sector_data!F8</f>
        <v>47</v>
      </c>
      <c r="G27" s="10">
        <f>sector_data!H8</f>
        <v>45</v>
      </c>
      <c r="H27" s="10">
        <f>sector_data!J8</f>
        <v>42</v>
      </c>
      <c r="I27" s="10">
        <f>sector_data!L8</f>
        <v>0.63</v>
      </c>
      <c r="J27" s="11">
        <v>0.85</v>
      </c>
    </row>
    <row r="28" ht="17.75" spans="2:10">
      <c r="B28" s="12"/>
      <c r="C28" s="13"/>
      <c r="D28" s="8" t="s">
        <v>9</v>
      </c>
      <c r="E28" s="9">
        <f>sector_data!D8</f>
        <v>23</v>
      </c>
      <c r="F28" s="9"/>
      <c r="G28" s="9"/>
      <c r="H28" s="9"/>
      <c r="I28" s="9"/>
      <c r="J28" s="10"/>
    </row>
    <row r="29" ht="17.75" spans="2:10">
      <c r="B29" s="12"/>
      <c r="C29" s="7" t="s">
        <v>10</v>
      </c>
      <c r="D29" s="8" t="s">
        <v>8</v>
      </c>
      <c r="E29" s="9">
        <f>sector_data!C8</f>
        <v>46</v>
      </c>
      <c r="F29" s="10">
        <f>sector_data!G8</f>
        <v>46</v>
      </c>
      <c r="G29" s="10">
        <f>sector_data!I8</f>
        <v>40</v>
      </c>
      <c r="H29" s="10">
        <f>sector_data!K8</f>
        <v>35</v>
      </c>
      <c r="I29" s="10">
        <f>sector_data!M8</f>
        <v>0.45</v>
      </c>
      <c r="J29" s="10"/>
    </row>
    <row r="30" ht="17.75" spans="2:10">
      <c r="B30" s="14"/>
      <c r="C30" s="13"/>
      <c r="D30" s="8" t="s">
        <v>9</v>
      </c>
      <c r="E30" s="9">
        <f>sector_data!E8</f>
        <v>32</v>
      </c>
      <c r="F30" s="9"/>
      <c r="G30" s="9"/>
      <c r="H30" s="9"/>
      <c r="I30" s="9"/>
      <c r="J30" s="9"/>
    </row>
    <row r="31" customFormat="1" ht="17.75" spans="2:10">
      <c r="B31" s="12" t="str">
        <f>sector_data!A9</f>
        <v>c108</v>
      </c>
      <c r="C31" s="7" t="s">
        <v>7</v>
      </c>
      <c r="D31" s="8" t="s">
        <v>8</v>
      </c>
      <c r="E31" s="9">
        <f>sector_data!B9</f>
        <v>42</v>
      </c>
      <c r="F31" s="10">
        <f>sector_data!F9</f>
        <v>57</v>
      </c>
      <c r="G31" s="10">
        <f>sector_data!H9</f>
        <v>52</v>
      </c>
      <c r="H31" s="10">
        <f>sector_data!J9</f>
        <v>40</v>
      </c>
      <c r="I31" s="10">
        <f>sector_data!L9</f>
        <v>0.66</v>
      </c>
      <c r="J31" s="11">
        <v>0.85</v>
      </c>
    </row>
    <row r="32" customFormat="1" ht="17.75" spans="2:10">
      <c r="B32" s="12"/>
      <c r="C32" s="13"/>
      <c r="D32" s="8" t="s">
        <v>9</v>
      </c>
      <c r="E32" s="9">
        <f>sector_data!D9</f>
        <v>19</v>
      </c>
      <c r="F32" s="9"/>
      <c r="G32" s="9"/>
      <c r="H32" s="9"/>
      <c r="I32" s="9"/>
      <c r="J32" s="10"/>
    </row>
    <row r="33" customFormat="1" ht="17.75" spans="2:10">
      <c r="B33" s="12"/>
      <c r="C33" s="7" t="s">
        <v>10</v>
      </c>
      <c r="D33" s="8" t="s">
        <v>8</v>
      </c>
      <c r="E33" s="9">
        <f>sector_data!C9</f>
        <v>49</v>
      </c>
      <c r="F33" s="10">
        <f>sector_data!G9</f>
        <v>71</v>
      </c>
      <c r="G33" s="10">
        <f>sector_data!I9</f>
        <v>57</v>
      </c>
      <c r="H33" s="10">
        <f>sector_data!K9</f>
        <v>48</v>
      </c>
      <c r="I33" s="10">
        <f>sector_data!M9</f>
        <v>0.62</v>
      </c>
      <c r="J33" s="10"/>
    </row>
    <row r="34" customFormat="1" ht="17.75" spans="2:10">
      <c r="B34" s="14"/>
      <c r="C34" s="13"/>
      <c r="D34" s="8" t="s">
        <v>9</v>
      </c>
      <c r="E34" s="9">
        <f>sector_data!E9</f>
        <v>28</v>
      </c>
      <c r="F34" s="9"/>
      <c r="G34" s="9"/>
      <c r="H34" s="9"/>
      <c r="I34" s="9"/>
      <c r="J34" s="9"/>
    </row>
    <row r="35" customFormat="1" ht="17.75" spans="2:10">
      <c r="B35" s="12" t="str">
        <f>sector_data!A10</f>
        <v>c109</v>
      </c>
      <c r="C35" s="7" t="s">
        <v>7</v>
      </c>
      <c r="D35" s="8" t="s">
        <v>8</v>
      </c>
      <c r="E35" s="9">
        <f>sector_data!B10</f>
        <v>22</v>
      </c>
      <c r="F35" s="10">
        <f>sector_data!F10</f>
        <v>34</v>
      </c>
      <c r="G35" s="10">
        <f>sector_data!H10</f>
        <v>31</v>
      </c>
      <c r="H35" s="10">
        <f>sector_data!J10</f>
        <v>25</v>
      </c>
      <c r="I35" s="10">
        <f>sector_data!L10</f>
        <v>0.74</v>
      </c>
      <c r="J35" s="11">
        <v>0.85</v>
      </c>
    </row>
    <row r="36" customFormat="1" ht="17.75" spans="2:10">
      <c r="B36" s="12"/>
      <c r="C36" s="13"/>
      <c r="D36" s="8" t="s">
        <v>9</v>
      </c>
      <c r="E36" s="9">
        <f>sector_data!D10</f>
        <v>12</v>
      </c>
      <c r="F36" s="9"/>
      <c r="G36" s="9"/>
      <c r="H36" s="9"/>
      <c r="I36" s="9"/>
      <c r="J36" s="10"/>
    </row>
    <row r="37" customFormat="1" ht="17.75" spans="2:10">
      <c r="B37" s="12"/>
      <c r="C37" s="7" t="s">
        <v>10</v>
      </c>
      <c r="D37" s="8" t="s">
        <v>8</v>
      </c>
      <c r="E37" s="9">
        <f>sector_data!C10</f>
        <v>26</v>
      </c>
      <c r="F37" s="10">
        <f>sector_data!G10</f>
        <v>40</v>
      </c>
      <c r="G37" s="10">
        <f>sector_data!I10</f>
        <v>34</v>
      </c>
      <c r="H37" s="10">
        <f>sector_data!K10</f>
        <v>29</v>
      </c>
      <c r="I37" s="10">
        <f>sector_data!M10</f>
        <v>0.71</v>
      </c>
      <c r="J37" s="10"/>
    </row>
    <row r="38" customFormat="1" ht="17.75" spans="2:10">
      <c r="B38" s="14"/>
      <c r="C38" s="13"/>
      <c r="D38" s="8" t="s">
        <v>9</v>
      </c>
      <c r="E38" s="9">
        <f>sector_data!E10</f>
        <v>15</v>
      </c>
      <c r="F38" s="9"/>
      <c r="G38" s="9"/>
      <c r="H38" s="9"/>
      <c r="I38" s="9"/>
      <c r="J38" s="9"/>
    </row>
    <row r="39" customFormat="1" ht="17.75" spans="2:10">
      <c r="B39" s="12">
        <f>sector_data!A11</f>
        <v>0</v>
      </c>
      <c r="C39" s="7" t="s">
        <v>7</v>
      </c>
      <c r="D39" s="8" t="s">
        <v>8</v>
      </c>
      <c r="E39" s="9">
        <f>sector_data!B11</f>
        <v>0</v>
      </c>
      <c r="F39" s="10">
        <f>sector_data!F11</f>
        <v>0</v>
      </c>
      <c r="G39" s="10">
        <f>sector_data!H11</f>
        <v>0</v>
      </c>
      <c r="H39" s="10">
        <f>sector_data!J11</f>
        <v>0</v>
      </c>
      <c r="I39" s="10">
        <f>sector_data!L11</f>
        <v>0</v>
      </c>
      <c r="J39" s="11">
        <v>0.85</v>
      </c>
    </row>
    <row r="40" customFormat="1" ht="17.75" spans="2:10">
      <c r="B40" s="12"/>
      <c r="C40" s="13"/>
      <c r="D40" s="8" t="s">
        <v>9</v>
      </c>
      <c r="E40" s="9">
        <f>sector_data!D11</f>
        <v>0</v>
      </c>
      <c r="F40" s="9"/>
      <c r="G40" s="9"/>
      <c r="H40" s="9"/>
      <c r="I40" s="9"/>
      <c r="J40" s="10"/>
    </row>
    <row r="41" customFormat="1" ht="17.75" spans="2:10">
      <c r="B41" s="12"/>
      <c r="C41" s="7" t="s">
        <v>10</v>
      </c>
      <c r="D41" s="8" t="s">
        <v>8</v>
      </c>
      <c r="E41" s="9">
        <f>sector_data!C11</f>
        <v>0</v>
      </c>
      <c r="F41" s="10">
        <f>sector_data!G11</f>
        <v>0</v>
      </c>
      <c r="G41" s="10">
        <f>sector_data!I11</f>
        <v>0</v>
      </c>
      <c r="H41" s="10">
        <f>sector_data!K11</f>
        <v>0</v>
      </c>
      <c r="I41" s="10">
        <f>sector_data!M11</f>
        <v>0</v>
      </c>
      <c r="J41" s="10"/>
    </row>
    <row r="42" customFormat="1" ht="17.75" spans="2:10">
      <c r="B42" s="14"/>
      <c r="C42" s="13"/>
      <c r="D42" s="8" t="s">
        <v>9</v>
      </c>
      <c r="E42" s="9">
        <f>sector_data!E11</f>
        <v>0</v>
      </c>
      <c r="F42" s="9"/>
      <c r="G42" s="9"/>
      <c r="H42" s="9"/>
      <c r="I42" s="9"/>
      <c r="J42" s="9"/>
    </row>
    <row r="43" customFormat="1" ht="17.75" spans="2:10">
      <c r="B43" s="12">
        <f>sector_data!A12</f>
        <v>0</v>
      </c>
      <c r="C43" s="7" t="s">
        <v>7</v>
      </c>
      <c r="D43" s="8" t="s">
        <v>8</v>
      </c>
      <c r="E43" s="9">
        <f>sector_data!B24</f>
        <v>0</v>
      </c>
      <c r="F43" s="10">
        <f>sector_data!F12</f>
        <v>0</v>
      </c>
      <c r="G43" s="10">
        <f>sector_data!H12</f>
        <v>0</v>
      </c>
      <c r="H43" s="10">
        <f>sector_data!J12</f>
        <v>0</v>
      </c>
      <c r="I43" s="10">
        <f>sector_data!L12</f>
        <v>0</v>
      </c>
      <c r="J43" s="11">
        <v>0.85</v>
      </c>
    </row>
    <row r="44" customFormat="1" ht="17.75" spans="2:10">
      <c r="B44" s="12"/>
      <c r="C44" s="13"/>
      <c r="D44" s="8" t="s">
        <v>9</v>
      </c>
      <c r="E44" s="9">
        <f>sector_data!D24</f>
        <v>0</v>
      </c>
      <c r="F44" s="9"/>
      <c r="G44" s="9"/>
      <c r="H44" s="9"/>
      <c r="I44" s="9"/>
      <c r="J44" s="10"/>
    </row>
    <row r="45" customFormat="1" ht="17.75" spans="2:10">
      <c r="B45" s="12"/>
      <c r="C45" s="7" t="s">
        <v>10</v>
      </c>
      <c r="D45" s="8" t="s">
        <v>8</v>
      </c>
      <c r="E45" s="9">
        <f>sector_data!C24</f>
        <v>0</v>
      </c>
      <c r="F45" s="10">
        <f>sector_data!G11</f>
        <v>0</v>
      </c>
      <c r="G45" s="10">
        <f>sector_data!I12</f>
        <v>0</v>
      </c>
      <c r="H45" s="10">
        <f>sector_data!K12</f>
        <v>0</v>
      </c>
      <c r="I45" s="10">
        <f>sector_data!M12</f>
        <v>0</v>
      </c>
      <c r="J45" s="10"/>
    </row>
    <row r="46" customFormat="1" ht="17.75" spans="2:10">
      <c r="B46" s="14"/>
      <c r="C46" s="13"/>
      <c r="D46" s="8" t="s">
        <v>9</v>
      </c>
      <c r="E46" s="9">
        <f>sector_data!E24</f>
        <v>0</v>
      </c>
      <c r="F46" s="9"/>
      <c r="G46" s="9"/>
      <c r="H46" s="9"/>
      <c r="I46" s="9"/>
      <c r="J46" s="9"/>
    </row>
  </sheetData>
  <mergeCells count="133">
    <mergeCell ref="C2:E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J3:J6"/>
    <mergeCell ref="J7:J10"/>
    <mergeCell ref="J11:J14"/>
    <mergeCell ref="J15:J18"/>
    <mergeCell ref="J19:J22"/>
    <mergeCell ref="J23:J26"/>
    <mergeCell ref="J27:J30"/>
    <mergeCell ref="J31:J34"/>
    <mergeCell ref="J35:J38"/>
    <mergeCell ref="J39:J42"/>
    <mergeCell ref="J43:J4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G22" sqref="G22"/>
    </sheetView>
  </sheetViews>
  <sheetFormatPr defaultColWidth="8.4375" defaultRowHeight="16.8"/>
  <cols>
    <col min="1" max="16384" width="8.4375" style="1"/>
  </cols>
  <sheetData>
    <row r="1" s="1" customFormat="1" spans="1:1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="1" customFormat="1" spans="1:13">
      <c r="A2" s="1" t="s">
        <v>24</v>
      </c>
      <c r="B2" s="1">
        <v>24</v>
      </c>
      <c r="C2" s="1">
        <v>59</v>
      </c>
      <c r="D2" s="1">
        <v>22</v>
      </c>
      <c r="E2" s="1">
        <v>25</v>
      </c>
      <c r="F2" s="1">
        <v>46</v>
      </c>
      <c r="G2" s="1">
        <v>65</v>
      </c>
      <c r="H2" s="1">
        <v>46</v>
      </c>
      <c r="I2" s="1">
        <v>58</v>
      </c>
      <c r="J2" s="1">
        <v>36</v>
      </c>
      <c r="K2" s="1">
        <v>58</v>
      </c>
      <c r="L2" s="1">
        <v>0.78</v>
      </c>
      <c r="M2" s="1">
        <v>0.69</v>
      </c>
    </row>
    <row r="3" s="1" customFormat="1" spans="1:13">
      <c r="A3" s="1" t="s">
        <v>25</v>
      </c>
      <c r="B3" s="1">
        <v>45</v>
      </c>
      <c r="C3" s="1">
        <v>71</v>
      </c>
      <c r="D3" s="1">
        <v>15</v>
      </c>
      <c r="E3" s="1">
        <v>24</v>
      </c>
      <c r="F3" s="1">
        <v>56</v>
      </c>
      <c r="G3" s="1">
        <v>90</v>
      </c>
      <c r="H3" s="1">
        <v>53</v>
      </c>
      <c r="I3" s="1">
        <v>67</v>
      </c>
      <c r="J3" s="1">
        <v>51</v>
      </c>
      <c r="K3" s="1">
        <v>67</v>
      </c>
      <c r="L3" s="1">
        <v>0.85</v>
      </c>
      <c r="M3" s="1">
        <v>0.71</v>
      </c>
    </row>
    <row r="4" s="1" customFormat="1" spans="1:13">
      <c r="A4" s="1" t="s">
        <v>26</v>
      </c>
      <c r="B4" s="1">
        <v>51</v>
      </c>
      <c r="C4" s="1">
        <v>64</v>
      </c>
      <c r="D4" s="1">
        <v>27</v>
      </c>
      <c r="E4" s="1">
        <v>34</v>
      </c>
      <c r="F4" s="1">
        <v>71</v>
      </c>
      <c r="G4" s="1">
        <v>90</v>
      </c>
      <c r="H4" s="1">
        <v>68</v>
      </c>
      <c r="I4" s="1">
        <v>77</v>
      </c>
      <c r="J4" s="1">
        <v>53</v>
      </c>
      <c r="K4" s="1">
        <v>74</v>
      </c>
      <c r="L4" s="1">
        <v>0.68</v>
      </c>
      <c r="M4" s="1">
        <v>0.76</v>
      </c>
    </row>
    <row r="5" s="1" customFormat="1" spans="1:13">
      <c r="A5" s="1" t="s">
        <v>27</v>
      </c>
      <c r="B5" s="1">
        <v>42</v>
      </c>
      <c r="C5" s="1">
        <v>59</v>
      </c>
      <c r="D5" s="1">
        <v>21</v>
      </c>
      <c r="E5" s="1">
        <v>31</v>
      </c>
      <c r="F5" s="1">
        <v>56</v>
      </c>
      <c r="G5" s="1">
        <v>90</v>
      </c>
      <c r="H5" s="1">
        <v>48</v>
      </c>
      <c r="I5" s="1">
        <v>59</v>
      </c>
      <c r="J5" s="1">
        <v>39</v>
      </c>
      <c r="K5" s="1">
        <v>47</v>
      </c>
      <c r="L5" s="1">
        <v>0.62</v>
      </c>
      <c r="M5" s="1">
        <v>0.52</v>
      </c>
    </row>
    <row r="6" s="1" customFormat="1" spans="1:13">
      <c r="A6" s="1" t="s">
        <v>28</v>
      </c>
      <c r="B6" s="1">
        <v>33</v>
      </c>
      <c r="C6" s="1">
        <v>51</v>
      </c>
      <c r="D6" s="1">
        <v>12</v>
      </c>
      <c r="E6" s="1">
        <v>15</v>
      </c>
      <c r="F6" s="1">
        <v>44</v>
      </c>
      <c r="G6" s="1">
        <v>64</v>
      </c>
      <c r="H6" s="1">
        <v>39</v>
      </c>
      <c r="I6" s="1">
        <v>51</v>
      </c>
      <c r="J6" s="1">
        <v>30</v>
      </c>
      <c r="K6" s="1">
        <v>47</v>
      </c>
      <c r="L6" s="1">
        <v>0.67</v>
      </c>
      <c r="M6" s="1">
        <v>0.71</v>
      </c>
    </row>
    <row r="7" s="1" customFormat="1" spans="1:13">
      <c r="A7" s="1" t="s">
        <v>29</v>
      </c>
      <c r="B7" s="1">
        <v>0</v>
      </c>
      <c r="C7" s="1">
        <v>0</v>
      </c>
      <c r="D7" s="1">
        <v>26</v>
      </c>
      <c r="E7" s="1">
        <v>27</v>
      </c>
      <c r="F7" s="1">
        <v>26</v>
      </c>
      <c r="G7" s="1">
        <v>23</v>
      </c>
      <c r="H7" s="1">
        <v>24</v>
      </c>
      <c r="I7" s="1">
        <v>19</v>
      </c>
      <c r="J7" s="1">
        <v>24</v>
      </c>
      <c r="K7" s="1">
        <v>19</v>
      </c>
      <c r="L7" s="1">
        <v>0.92</v>
      </c>
      <c r="M7" s="1">
        <v>0.7</v>
      </c>
    </row>
    <row r="8" s="1" customFormat="1" spans="1:13">
      <c r="A8" s="1" t="s">
        <v>30</v>
      </c>
      <c r="B8" s="1">
        <v>44</v>
      </c>
      <c r="C8" s="1">
        <v>46</v>
      </c>
      <c r="D8" s="1">
        <v>23</v>
      </c>
      <c r="E8" s="1">
        <v>32</v>
      </c>
      <c r="F8" s="1">
        <v>47</v>
      </c>
      <c r="G8" s="1">
        <v>46</v>
      </c>
      <c r="H8" s="1">
        <v>45</v>
      </c>
      <c r="I8" s="1">
        <v>40</v>
      </c>
      <c r="J8" s="1">
        <v>42</v>
      </c>
      <c r="K8" s="1">
        <v>35</v>
      </c>
      <c r="L8" s="1">
        <v>0.63</v>
      </c>
      <c r="M8" s="1">
        <v>0.45</v>
      </c>
    </row>
    <row r="9" s="1" customFormat="1" spans="1:13">
      <c r="A9" s="1" t="s">
        <v>31</v>
      </c>
      <c r="B9" s="1">
        <v>42</v>
      </c>
      <c r="C9" s="1">
        <v>49</v>
      </c>
      <c r="D9" s="1">
        <v>19</v>
      </c>
      <c r="E9" s="1">
        <v>28</v>
      </c>
      <c r="F9" s="1">
        <v>57</v>
      </c>
      <c r="G9" s="1">
        <v>71</v>
      </c>
      <c r="H9" s="1">
        <v>52</v>
      </c>
      <c r="I9" s="1">
        <v>57</v>
      </c>
      <c r="J9" s="1">
        <v>40</v>
      </c>
      <c r="K9" s="1">
        <v>48</v>
      </c>
      <c r="L9" s="1">
        <v>0.66</v>
      </c>
      <c r="M9" s="1">
        <v>0.62</v>
      </c>
    </row>
    <row r="10" s="1" customFormat="1" spans="1:13">
      <c r="A10" s="1" t="s">
        <v>32</v>
      </c>
      <c r="B10" s="1">
        <v>22</v>
      </c>
      <c r="C10" s="1">
        <v>26</v>
      </c>
      <c r="D10" s="1">
        <v>12</v>
      </c>
      <c r="E10" s="1">
        <v>15</v>
      </c>
      <c r="F10" s="1">
        <v>34</v>
      </c>
      <c r="G10" s="1">
        <v>40</v>
      </c>
      <c r="H10" s="1">
        <v>31</v>
      </c>
      <c r="I10" s="1">
        <v>34</v>
      </c>
      <c r="J10" s="1">
        <v>25</v>
      </c>
      <c r="K10" s="1">
        <v>29</v>
      </c>
      <c r="L10" s="1">
        <v>0.74</v>
      </c>
      <c r="M10" s="1">
        <v>0.71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construction</vt:lpstr>
      <vt:lpstr>sector_data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meimei</dc:creator>
  <cp:lastModifiedBy>WPS_1732950773</cp:lastModifiedBy>
  <dcterms:created xsi:type="dcterms:W3CDTF">2026-05-29T23:47:00Z</dcterms:created>
  <dcterms:modified xsi:type="dcterms:W3CDTF">2026-06-01T15:48:04Z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6129B71D611D473082271C6A16C7382B_43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