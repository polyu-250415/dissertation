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20" tabRatio="962" firstSheet="5" activeTab="9"/>
  </bookViews>
  <sheets>
    <sheet name="sector_3_turns_screening" sheetId="1" r:id="rId1"/>
    <sheet name="sector_DST" sheetId="11" r:id="rId2"/>
    <sheet name="sector_data" sheetId="4" r:id="rId3"/>
    <sheet name="sector_DST_s003" sheetId="12" r:id="rId4"/>
    <sheet name="sector_3_turns_screening_s003" sheetId="13" r:id="rId5"/>
    <sheet name="sector_DST_s002" sheetId="15" r:id="rId6"/>
    <sheet name="sector_3_turns_screening_s002" sheetId="16" r:id="rId7"/>
    <sheet name="sector_DST_s001" sheetId="17" r:id="rId8"/>
    <sheet name="sector_3_turns_screening_s001" sheetId="18" r:id="rId9"/>
    <sheet name="Comparative Case-Representation" sheetId="1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<sst xmlns="http://schemas.openxmlformats.org/spreadsheetml/2006/main" count="271" uniqueCount="114">
  <si>
    <t>Initial KG
(Expansion by the LLM Ensemble)</t>
  </si>
  <si>
    <t>1st Round
(Schema Check)</t>
  </si>
  <si>
    <t>2nd Round
(FactCheck )</t>
  </si>
  <si>
    <t>3rd Round
(Entity Alignment)</t>
  </si>
  <si>
    <t>Accepted
Rate</t>
  </si>
  <si>
    <t>Case Id</t>
  </si>
  <si>
    <t>E</t>
  </si>
  <si>
    <t>R</t>
  </si>
  <si>
    <t>Case ID</t>
  </si>
  <si>
    <r>
      <rPr>
        <b/>
        <sz val="11"/>
        <color theme="1"/>
        <rFont val="Calibri"/>
        <charset val="134"/>
        <scheme val="minor"/>
      </rPr>
      <t xml:space="preserve">Initial Entity
Amount
</t>
    </r>
    <r>
      <rPr>
        <b/>
        <sz val="9"/>
        <color theme="1"/>
        <rFont val="Calibri"/>
        <charset val="134"/>
        <scheme val="minor"/>
      </rPr>
      <t>(DeepSeek vs ChatGPT)</t>
    </r>
  </si>
  <si>
    <r>
      <rPr>
        <b/>
        <sz val="11"/>
        <color theme="1"/>
        <rFont val="Calibri"/>
        <charset val="134"/>
        <scheme val="minor"/>
      </rPr>
      <t xml:space="preserve">Initial Relation Amount
</t>
    </r>
    <r>
      <rPr>
        <b/>
        <sz val="9"/>
        <color theme="1"/>
        <rFont val="Calibri"/>
        <charset val="134"/>
        <scheme val="minor"/>
      </rPr>
      <t>(DeepSeek vs ChatGPT)</t>
    </r>
  </si>
  <si>
    <t>Accepted Entity Amount</t>
  </si>
  <si>
    <t>Accepted Relation Amount</t>
  </si>
  <si>
    <t>Entity Expansion Coefficient</t>
  </si>
  <si>
    <t>Relation
Expansion Coefficient</t>
  </si>
  <si>
    <t>DST Rate</t>
  </si>
  <si>
    <t>case_id</t>
  </si>
  <si>
    <t>Initial_deepseek_nodes</t>
  </si>
  <si>
    <t>Initial_deepseek_edges</t>
  </si>
  <si>
    <t>Initial_chatgpt_nodes</t>
  </si>
  <si>
    <t>Initial_chatgpt_edges</t>
  </si>
  <si>
    <t>r1_nodes</t>
  </si>
  <si>
    <t>r1_edges</t>
  </si>
  <si>
    <t>r2_nodes</t>
  </si>
  <si>
    <t>r2_edges</t>
  </si>
  <si>
    <t>r3_nodes</t>
  </si>
  <si>
    <t>r3_edges</t>
  </si>
  <si>
    <t>node_accepted_rate</t>
  </si>
  <si>
    <t>relation_accepted_rate</t>
  </si>
  <si>
    <t>node_expansion_coefficient</t>
  </si>
  <si>
    <t>relation_expansion_coefficient</t>
  </si>
  <si>
    <t>dtv_valid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</si>
  <si>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</si>
  <si>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</si>
  <si>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</si>
  <si>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</si>
  <si>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</si>
  <si>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</si>
  <si>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</si>
  <si>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</si>
  <si>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</si>
  <si>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</si>
  <si>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</si>
  <si>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</si>
  <si>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c014</t>
  </si>
  <si>
    <t>c016</t>
  </si>
  <si>
    <t>c017</t>
  </si>
  <si>
    <t>Initial Entity
Amount
(DeepSeek vs ChatGPT)</t>
  </si>
  <si>
    <t>Initial Relation Amount
(DeepSeek vs ChatGPT)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</si>
  <si>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</si>
  <si>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</si>
  <si>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</si>
  <si>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</si>
  <si>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</si>
  <si>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</si>
  <si>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</si>
  <si>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</si>
  <si>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</si>
  <si>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</si>
  <si>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</si>
  <si>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</si>
  <si>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</si>
  <si>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</si>
  <si>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</si>
  <si>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</si>
  <si>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</si>
  <si>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</si>
  <si>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</si>
  <si>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c221</t>
  </si>
  <si>
    <t>c222</t>
  </si>
  <si>
    <t>c224</t>
  </si>
  <si>
    <t>c225</t>
  </si>
  <si>
    <t>c227</t>
  </si>
  <si>
    <t>total</t>
  </si>
  <si>
    <t>Average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</si>
  <si>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</si>
  <si>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</si>
  <si>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</si>
  <si>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</si>
  <si>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</si>
  <si>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</si>
  <si>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</si>
  <si>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</si>
  <si>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</si>
  <si>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</si>
  <si>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</si>
  <si>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c113</t>
  </si>
  <si>
    <t>c114</t>
  </si>
  <si>
    <t>c115</t>
  </si>
  <si>
    <t>c117</t>
  </si>
  <si>
    <t>c119</t>
  </si>
  <si>
    <t>c120</t>
  </si>
  <si>
    <t>c121</t>
  </si>
  <si>
    <t>c122</t>
  </si>
  <si>
    <t>c124</t>
  </si>
  <si>
    <t>c125</t>
  </si>
  <si>
    <t>c126</t>
  </si>
  <si>
    <t>Total</t>
  </si>
  <si>
    <t>Indicator</t>
  </si>
  <si>
    <t>Construction
SIC-15</t>
  </si>
  <si>
    <t>Manufacturing
SIC-35</t>
  </si>
  <si>
    <t>Health Services
SIC-80</t>
  </si>
  <si>
    <t>Cases</t>
  </si>
  <si>
    <t>Candidate entities</t>
  </si>
  <si>
    <t>Retained entities</t>
  </si>
  <si>
    <t>Entity-retention rate</t>
  </si>
  <si>
    <t>Candidate relations</t>
  </si>
  <si>
    <t>Retained relations</t>
  </si>
  <si>
    <t>Relation-retention rate</t>
  </si>
  <si>
    <t>Mean entity-expansion coefficient</t>
  </si>
  <si>
    <t>Mean relationship-expansion coefficient</t>
  </si>
  <si>
    <t>Mean case-level DST coverage</t>
  </si>
  <si>
    <t>Case-level DST range</t>
  </si>
  <si>
    <t>Cross-Case DST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</si>
</sst>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Times New Roman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7"/>
  <sheetViews>
    <sheetView zoomScale="92" zoomScaleNormal="92" workbookViewId="0">
      <selection activeCell="D10" sqref="D10"/>
    </sheetView>
  </sheetViews>
  <sheetFormatPr defaultColWidth="9" defaultRowHeight="16.8"/>
  <cols>
    <col min="2" max="2" width="8.7265625" customWidth="1"/>
    <col min="3" max="4" width="9.7578125" customWidth="1"/>
    <col min="5" max="10" width="9.7578125" style="14" customWidth="1"/>
    <col min="11" max="12" width="7.75" style="14" customWidth="1"/>
  </cols>
  <sheetData>
    <row r="2" ht="34" customHeight="1" spans="2:12">
      <c r="B2" s="18"/>
      <c r="C2" s="21" t="s">
        <v>0</v>
      </c>
      <c r="D2" s="21"/>
      <c r="E2" s="21" t="s">
        <v>1</v>
      </c>
      <c r="F2" s="21"/>
      <c r="G2" s="21" t="s">
        <v>2</v>
      </c>
      <c r="H2" s="21"/>
      <c r="I2" s="21" t="s">
        <v>3</v>
      </c>
      <c r="J2" s="21"/>
      <c r="K2" s="21" t="s">
        <v>4</v>
      </c>
      <c r="L2" s="21"/>
    </row>
    <row r="3" ht="17" spans="2:12">
      <c r="B3" s="18" t="s">
        <v>5</v>
      </c>
      <c r="C3" s="21" t="s">
        <v>6</v>
      </c>
      <c r="D3" s="21" t="s">
        <v>7</v>
      </c>
      <c r="E3" s="21" t="s">
        <v>6</v>
      </c>
      <c r="F3" s="21" t="s">
        <v>7</v>
      </c>
      <c r="G3" s="21" t="s">
        <v>6</v>
      </c>
      <c r="H3" s="21" t="s">
        <v>7</v>
      </c>
      <c r="I3" s="21" t="s">
        <v>6</v>
      </c>
      <c r="J3" s="21" t="s">
        <v>7</v>
      </c>
      <c r="K3" s="21" t="s">
        <v>6</v>
      </c>
      <c r="L3" s="21" t="s">
        <v>7</v>
      </c>
    </row>
    <row r="4" ht="17" spans="2:12">
      <c r="B4" s="22" t="str">
        <f>sector_data!A2</f>
        <v>c001</v>
      </c>
      <c r="C4" s="23">
        <f>SUM(sector_data!B2,sector_data!D2)</f>
        <v>96</v>
      </c>
      <c r="D4" s="23">
        <f>sector_data!C2+sector_data!E2</f>
        <v>147</v>
      </c>
      <c r="E4" s="23">
        <f>sector_data!F2</f>
        <v>95</v>
      </c>
      <c r="F4" s="23">
        <f>sector_data!G2</f>
        <v>141</v>
      </c>
      <c r="G4" s="23">
        <f>sector_data!H2</f>
        <v>91</v>
      </c>
      <c r="H4" s="23">
        <f>sector_data!I2</f>
        <v>123</v>
      </c>
      <c r="I4" s="23">
        <f>sector_data!J2</f>
        <v>84</v>
      </c>
      <c r="J4" s="23">
        <f>sector_data!K2</f>
        <v>122</v>
      </c>
      <c r="K4" s="24">
        <f>sector_data!L2</f>
        <v>0.88</v>
      </c>
      <c r="L4" s="24">
        <f>sector_data!M2</f>
        <v>0.83</v>
      </c>
    </row>
    <row r="5" ht="17" spans="2:12">
      <c r="B5" s="18" t="str">
        <f>sector_data!A3</f>
        <v>c002</v>
      </c>
      <c r="C5" s="19">
        <f>SUM(sector_data!B3,sector_data!D3)</f>
        <v>92</v>
      </c>
      <c r="D5" s="19">
        <f>sector_data!C3+sector_data!E3</f>
        <v>202</v>
      </c>
      <c r="E5" s="23">
        <f>sector_data!F3</f>
        <v>91</v>
      </c>
      <c r="F5" s="23">
        <f>sector_data!G3</f>
        <v>200</v>
      </c>
      <c r="G5" s="23">
        <f>sector_data!H3</f>
        <v>86</v>
      </c>
      <c r="H5" s="23">
        <f>sector_data!I3</f>
        <v>159</v>
      </c>
      <c r="I5" s="23">
        <f>sector_data!J3</f>
        <v>81</v>
      </c>
      <c r="J5" s="23">
        <f>sector_data!K3</f>
        <v>159</v>
      </c>
      <c r="K5" s="24">
        <f>sector_data!L3</f>
        <v>0.88</v>
      </c>
      <c r="L5" s="24">
        <f>sector_data!M3</f>
        <v>0.79</v>
      </c>
    </row>
    <row r="6" ht="17" spans="2:12">
      <c r="B6" s="18" t="str">
        <f>sector_data!A4</f>
        <v>c003</v>
      </c>
      <c r="C6" s="19">
        <f>SUM(sector_data!B4,sector_data!D4)</f>
        <v>49</v>
      </c>
      <c r="D6" s="19">
        <f>sector_data!C4+sector_data!E4</f>
        <v>67</v>
      </c>
      <c r="E6" s="23">
        <f>sector_data!F4</f>
        <v>49</v>
      </c>
      <c r="F6" s="23">
        <f>sector_data!G4</f>
        <v>53</v>
      </c>
      <c r="G6" s="23">
        <f>sector_data!H4</f>
        <v>45</v>
      </c>
      <c r="H6" s="23">
        <f>sector_data!I4</f>
        <v>41</v>
      </c>
      <c r="I6" s="23">
        <f>sector_data!J4</f>
        <v>40</v>
      </c>
      <c r="J6" s="23">
        <f>sector_data!K4</f>
        <v>41</v>
      </c>
      <c r="K6" s="24">
        <f>sector_data!L4</f>
        <v>0.82</v>
      </c>
      <c r="L6" s="24">
        <f>sector_data!M4</f>
        <v>0.61</v>
      </c>
    </row>
    <row r="7" ht="17" spans="2:12">
      <c r="B7" s="18" t="str">
        <f>sector_data!A5</f>
        <v>c004</v>
      </c>
      <c r="C7" s="19">
        <f>SUM(sector_data!B5,sector_data!D5)</f>
        <v>73</v>
      </c>
      <c r="D7" s="19">
        <f>sector_data!C5+sector_data!E5</f>
        <v>137</v>
      </c>
      <c r="E7" s="23">
        <f>sector_data!F5</f>
        <v>73</v>
      </c>
      <c r="F7" s="23">
        <f>sector_data!G5</f>
        <v>134</v>
      </c>
      <c r="G7" s="23">
        <f>sector_data!H5</f>
        <v>71</v>
      </c>
      <c r="H7" s="23">
        <f>sector_data!I5</f>
        <v>108</v>
      </c>
      <c r="I7" s="23">
        <f>sector_data!J5</f>
        <v>59</v>
      </c>
      <c r="J7" s="23">
        <f>sector_data!K5</f>
        <v>98</v>
      </c>
      <c r="K7" s="24">
        <f>sector_data!L5</f>
        <v>0.81</v>
      </c>
      <c r="L7" s="24">
        <f>sector_data!M5</f>
        <v>0.72</v>
      </c>
    </row>
    <row r="8" ht="17" spans="2:12">
      <c r="B8" s="18" t="str">
        <f>sector_data!A6</f>
        <v>c005</v>
      </c>
      <c r="C8" s="19">
        <f>SUM(sector_data!B6,sector_data!D6)</f>
        <v>102</v>
      </c>
      <c r="D8" s="19">
        <f>sector_data!C6+sector_data!E6</f>
        <v>154</v>
      </c>
      <c r="E8" s="23">
        <f>sector_data!F6</f>
        <v>102</v>
      </c>
      <c r="F8" s="23">
        <f>sector_data!G6</f>
        <v>152</v>
      </c>
      <c r="G8" s="23">
        <f>sector_data!H6</f>
        <v>94</v>
      </c>
      <c r="H8" s="23">
        <f>sector_data!I6</f>
        <v>118</v>
      </c>
      <c r="I8" s="23">
        <f>sector_data!J6</f>
        <v>73</v>
      </c>
      <c r="J8" s="23">
        <f>sector_data!K6</f>
        <v>116</v>
      </c>
      <c r="K8" s="24">
        <f>sector_data!L6</f>
        <v>0.72</v>
      </c>
      <c r="L8" s="24">
        <f>sector_data!M6</f>
        <v>0.75</v>
      </c>
    </row>
    <row r="9" ht="17" spans="2:12">
      <c r="B9" s="18" t="str">
        <f>sector_data!A7</f>
        <v>c006</v>
      </c>
      <c r="C9" s="19">
        <f>SUM(sector_data!B7,sector_data!D7)</f>
        <v>69</v>
      </c>
      <c r="D9" s="19">
        <f>sector_data!C7+sector_data!E7</f>
        <v>92</v>
      </c>
      <c r="E9" s="23">
        <f>sector_data!F7</f>
        <v>68</v>
      </c>
      <c r="F9" s="23">
        <f>sector_data!G7</f>
        <v>90</v>
      </c>
      <c r="G9" s="23">
        <f>sector_data!H7</f>
        <v>65</v>
      </c>
      <c r="H9" s="23">
        <f>sector_data!I7</f>
        <v>81</v>
      </c>
      <c r="I9" s="23">
        <f>sector_data!J7</f>
        <v>56</v>
      </c>
      <c r="J9" s="23">
        <f>sector_data!K7</f>
        <v>80</v>
      </c>
      <c r="K9" s="24">
        <f>sector_data!L7</f>
        <v>0.81</v>
      </c>
      <c r="L9" s="24">
        <f>sector_data!M7</f>
        <v>0.87</v>
      </c>
    </row>
    <row r="10" ht="17" spans="2:12">
      <c r="B10" s="18" t="str">
        <f>sector_data!A8</f>
        <v>c007</v>
      </c>
      <c r="C10" s="19">
        <f>SUM(sector_data!B8,sector_data!D8)</f>
        <v>105</v>
      </c>
      <c r="D10" s="19">
        <f>sector_data!C8+sector_data!E8</f>
        <v>202</v>
      </c>
      <c r="E10" s="23">
        <f>sector_data!F8</f>
        <v>102</v>
      </c>
      <c r="F10" s="23">
        <f>sector_data!G8</f>
        <v>202</v>
      </c>
      <c r="G10" s="23">
        <f>sector_data!H8</f>
        <v>96</v>
      </c>
      <c r="H10" s="23">
        <f>sector_data!I8</f>
        <v>143</v>
      </c>
      <c r="I10" s="23">
        <f>sector_data!J8</f>
        <v>85</v>
      </c>
      <c r="J10" s="23">
        <f>sector_data!K8</f>
        <v>141</v>
      </c>
      <c r="K10" s="24">
        <f>sector_data!L8</f>
        <v>0.81</v>
      </c>
      <c r="L10" s="24">
        <f>sector_data!M8</f>
        <v>0.7</v>
      </c>
    </row>
    <row r="11" ht="17" spans="2:12">
      <c r="B11" s="18" t="str">
        <f>sector_data!A9</f>
        <v>c008</v>
      </c>
      <c r="C11" s="19">
        <f>SUM(sector_data!B9,sector_data!D9)</f>
        <v>98</v>
      </c>
      <c r="D11" s="19">
        <f>sector_data!C9+sector_data!E9</f>
        <v>165</v>
      </c>
      <c r="E11" s="23">
        <f>sector_data!F9</f>
        <v>98</v>
      </c>
      <c r="F11" s="23">
        <f>sector_data!G9</f>
        <v>165</v>
      </c>
      <c r="G11" s="23">
        <f>sector_data!H9</f>
        <v>95</v>
      </c>
      <c r="H11" s="23">
        <f>sector_data!I9</f>
        <v>153</v>
      </c>
      <c r="I11" s="23">
        <f>sector_data!J9</f>
        <v>80</v>
      </c>
      <c r="J11" s="23">
        <f>sector_data!K9</f>
        <v>147</v>
      </c>
      <c r="K11" s="24">
        <f>sector_data!L9</f>
        <v>0.82</v>
      </c>
      <c r="L11" s="24">
        <f>sector_data!M9</f>
        <v>0.89</v>
      </c>
    </row>
    <row r="12" ht="17" spans="2:12">
      <c r="B12" s="18" t="str">
        <f>sector_data!A10</f>
        <v>c009</v>
      </c>
      <c r="C12" s="19">
        <f>SUM(sector_data!B10,sector_data!D10)</f>
        <v>120</v>
      </c>
      <c r="D12" s="19">
        <f>sector_data!C10+sector_data!E10</f>
        <v>196</v>
      </c>
      <c r="E12" s="23">
        <f>sector_data!F10</f>
        <v>120</v>
      </c>
      <c r="F12" s="23">
        <f>sector_data!G10</f>
        <v>194</v>
      </c>
      <c r="G12" s="23">
        <f>sector_data!H10</f>
        <v>115</v>
      </c>
      <c r="H12" s="23">
        <f>sector_data!I10</f>
        <v>158</v>
      </c>
      <c r="I12" s="23">
        <f>sector_data!J10</f>
        <v>89</v>
      </c>
      <c r="J12" s="23">
        <f>sector_data!K10</f>
        <v>139</v>
      </c>
      <c r="K12" s="24">
        <f>sector_data!L10</f>
        <v>0.74</v>
      </c>
      <c r="L12" s="24">
        <f>sector_data!M10</f>
        <v>0.71</v>
      </c>
    </row>
    <row r="13" ht="17" spans="2:12">
      <c r="B13" s="18" t="str">
        <f>sector_data!A11</f>
        <v>c010</v>
      </c>
      <c r="C13" s="19">
        <f>SUM(sector_data!B11,sector_data!D11)</f>
        <v>64</v>
      </c>
      <c r="D13" s="19">
        <f>sector_data!C11+sector_data!E11</f>
        <v>114</v>
      </c>
      <c r="E13" s="23">
        <f>sector_data!F11</f>
        <v>64</v>
      </c>
      <c r="F13" s="23">
        <f>sector_data!G11</f>
        <v>113</v>
      </c>
      <c r="G13" s="23">
        <f>sector_data!H11</f>
        <v>64</v>
      </c>
      <c r="H13" s="23">
        <f>sector_data!I11</f>
        <v>111</v>
      </c>
      <c r="I13" s="23">
        <f>sector_data!J11</f>
        <v>52</v>
      </c>
      <c r="J13" s="23">
        <f>sector_data!K11</f>
        <v>97</v>
      </c>
      <c r="K13" s="24">
        <f>sector_data!L11</f>
        <v>0.81</v>
      </c>
      <c r="L13" s="24">
        <f>sector_data!M11</f>
        <v>0.85</v>
      </c>
    </row>
    <row r="14" ht="17" spans="2:12">
      <c r="B14" s="18" t="str">
        <f>sector_data!A12</f>
        <v>c011</v>
      </c>
      <c r="C14" s="19">
        <f>SUM(sector_data!B12,sector_data!D12)</f>
        <v>80</v>
      </c>
      <c r="D14" s="19">
        <f>sector_data!C12+sector_data!E12</f>
        <v>149</v>
      </c>
      <c r="E14" s="23">
        <f>sector_data!F12</f>
        <v>72</v>
      </c>
      <c r="F14" s="23">
        <f>sector_data!G12</f>
        <v>84</v>
      </c>
      <c r="G14" s="23">
        <f>sector_data!H12</f>
        <v>67</v>
      </c>
      <c r="H14" s="23">
        <f>sector_data!I12</f>
        <v>71</v>
      </c>
      <c r="I14" s="23">
        <f>sector_data!J12</f>
        <v>38</v>
      </c>
      <c r="J14" s="23">
        <f>sector_data!K12</f>
        <v>70</v>
      </c>
      <c r="K14" s="24">
        <f>sector_data!L12</f>
        <v>0.47</v>
      </c>
      <c r="L14" s="24">
        <f>sector_data!M12</f>
        <v>0.47</v>
      </c>
    </row>
    <row r="15" ht="17" spans="2:12">
      <c r="B15" s="18" t="str">
        <f>sector_data!A13</f>
        <v>c012</v>
      </c>
      <c r="C15" s="19">
        <f>SUM(sector_data!B13,sector_data!D13)</f>
        <v>113</v>
      </c>
      <c r="D15" s="19">
        <f>sector_data!C13+sector_data!E13</f>
        <v>157</v>
      </c>
      <c r="E15" s="23">
        <f>sector_data!F13</f>
        <v>112</v>
      </c>
      <c r="F15" s="23">
        <f>sector_data!G13</f>
        <v>157</v>
      </c>
      <c r="G15" s="23">
        <f>sector_data!H13</f>
        <v>110</v>
      </c>
      <c r="H15" s="23">
        <f>sector_data!I13</f>
        <v>141</v>
      </c>
      <c r="I15" s="23">
        <f>sector_data!J13</f>
        <v>92</v>
      </c>
      <c r="J15" s="23">
        <f>sector_data!K13</f>
        <v>134</v>
      </c>
      <c r="K15" s="24">
        <f>sector_data!L13</f>
        <v>0.81</v>
      </c>
      <c r="L15" s="24">
        <f>sector_data!M13</f>
        <v>0.85</v>
      </c>
    </row>
    <row r="16" ht="17" spans="2:12">
      <c r="B16" s="18" t="str">
        <f>sector_data!A14</f>
        <v>c014</v>
      </c>
      <c r="C16" s="19">
        <f>SUM(sector_data!B14,sector_data!D14)</f>
        <v>106</v>
      </c>
      <c r="D16" s="19">
        <f>sector_data!C14+sector_data!E14</f>
        <v>177</v>
      </c>
      <c r="E16" s="23">
        <f>sector_data!F14</f>
        <v>106</v>
      </c>
      <c r="F16" s="23">
        <f>sector_data!G14</f>
        <v>177</v>
      </c>
      <c r="G16" s="23">
        <f>sector_data!H14</f>
        <v>104</v>
      </c>
      <c r="H16" s="23">
        <f>sector_data!I14</f>
        <v>117</v>
      </c>
      <c r="I16" s="23">
        <f>sector_data!J14</f>
        <v>86</v>
      </c>
      <c r="J16" s="23">
        <f>sector_data!K14</f>
        <v>110</v>
      </c>
      <c r="K16" s="24">
        <f>sector_data!L14</f>
        <v>0.81</v>
      </c>
      <c r="L16" s="24">
        <f>sector_data!M14</f>
        <v>0.62</v>
      </c>
    </row>
    <row r="17" ht="17" spans="2:12">
      <c r="B17" s="18" t="str">
        <f>sector_data!A15</f>
        <v>c016</v>
      </c>
      <c r="C17" s="19">
        <f>SUM(sector_data!B15,sector_data!D15)</f>
        <v>63</v>
      </c>
      <c r="D17" s="19">
        <f>sector_data!C15+sector_data!E15</f>
        <v>100</v>
      </c>
      <c r="E17" s="23">
        <f>sector_data!F15</f>
        <v>63</v>
      </c>
      <c r="F17" s="23">
        <f>sector_data!G15</f>
        <v>100</v>
      </c>
      <c r="G17" s="23">
        <f>sector_data!H15</f>
        <v>59</v>
      </c>
      <c r="H17" s="23">
        <f>sector_data!I15</f>
        <v>87</v>
      </c>
      <c r="I17" s="23">
        <f>sector_data!J15</f>
        <v>54</v>
      </c>
      <c r="J17" s="23">
        <f>sector_data!K15</f>
        <v>87</v>
      </c>
      <c r="K17" s="24">
        <f>sector_data!L15</f>
        <v>0.86</v>
      </c>
      <c r="L17" s="24">
        <f>sector_data!M15</f>
        <v>0.87</v>
      </c>
    </row>
    <row r="18" ht="17" spans="2:12">
      <c r="B18" s="18" t="str">
        <f>sector_data!A16</f>
        <v>c017</v>
      </c>
      <c r="C18" s="19">
        <f>SUM(sector_data!B16,sector_data!D16)</f>
        <v>60</v>
      </c>
      <c r="D18" s="19">
        <f>sector_data!C16+sector_data!E16</f>
        <v>112</v>
      </c>
      <c r="E18" s="23">
        <f>sector_data!F16</f>
        <v>60</v>
      </c>
      <c r="F18" s="23">
        <f>sector_data!G16</f>
        <v>112</v>
      </c>
      <c r="G18" s="23">
        <f>sector_data!H16</f>
        <v>57</v>
      </c>
      <c r="H18" s="23">
        <f>sector_data!I16</f>
        <v>93</v>
      </c>
      <c r="I18" s="23">
        <f>sector_data!J16</f>
        <v>49</v>
      </c>
      <c r="J18" s="23">
        <f>sector_data!K16</f>
        <v>91</v>
      </c>
      <c r="K18" s="24">
        <f>sector_data!L16</f>
        <v>0.82</v>
      </c>
      <c r="L18" s="24">
        <f>sector_data!M16</f>
        <v>0.81</v>
      </c>
    </row>
    <row r="19" ht="17" spans="2:12">
      <c r="B19" s="18">
        <f>sector_data!A17</f>
        <v>0</v>
      </c>
      <c r="C19" s="19">
        <f>SUM(sector_data!B17,sector_data!D17)</f>
        <v>0</v>
      </c>
      <c r="D19" s="19">
        <f>sector_data!C17+sector_data!E17</f>
        <v>0</v>
      </c>
      <c r="E19" s="23">
        <f>sector_data!F17</f>
        <v>0</v>
      </c>
      <c r="F19" s="23">
        <f>sector_data!G17</f>
        <v>0</v>
      </c>
      <c r="G19" s="23">
        <f>sector_data!H17</f>
        <v>0</v>
      </c>
      <c r="H19" s="23">
        <f>sector_data!I17</f>
        <v>0</v>
      </c>
      <c r="I19" s="23">
        <f>sector_data!J17</f>
        <v>0</v>
      </c>
      <c r="J19" s="23">
        <f>sector_data!K17</f>
        <v>0</v>
      </c>
      <c r="K19" s="24">
        <f>sector_data!L17</f>
        <v>0</v>
      </c>
      <c r="L19" s="24">
        <f>sector_data!M17</f>
        <v>0</v>
      </c>
    </row>
    <row r="20" spans="2:12">
      <c r="B20" s="18">
        <f>sector_data!A18</f>
        <v>0</v>
      </c>
      <c r="C20" s="19">
        <f>SUM(sector_data!B18,sector_data!D18)</f>
        <v>0</v>
      </c>
      <c r="D20" s="19">
        <f>sector_data!C18+sector_data!E18</f>
        <v>0</v>
      </c>
      <c r="E20" s="23">
        <f>sector_data!F18</f>
        <v>0</v>
      </c>
      <c r="F20" s="23">
        <f>sector_data!G18</f>
        <v>0</v>
      </c>
      <c r="G20" s="23">
        <f>sector_data!H18</f>
        <v>0</v>
      </c>
      <c r="H20" s="23">
        <f>sector_data!I18</f>
        <v>0</v>
      </c>
      <c r="I20" s="23">
        <f>sector_data!J18</f>
        <v>0</v>
      </c>
      <c r="J20" s="23">
        <f>sector_data!K18</f>
        <v>0</v>
      </c>
      <c r="K20" s="24">
        <f>sector_data!L18</f>
        <v>0</v>
      </c>
      <c r="L20" s="24">
        <f>sector_data!M18</f>
        <v>0</v>
      </c>
    </row>
    <row r="21" spans="2:12">
      <c r="B21" s="18">
        <f>sector_data!A19</f>
        <v>0</v>
      </c>
      <c r="C21" s="19">
        <f>SUM(sector_data!B19,sector_data!D19)</f>
        <v>0</v>
      </c>
      <c r="D21" s="19">
        <f>sector_data!C19+sector_data!E19</f>
        <v>0</v>
      </c>
      <c r="E21" s="23">
        <f>sector_data!F19</f>
        <v>0</v>
      </c>
      <c r="F21" s="23">
        <f>sector_data!G19</f>
        <v>0</v>
      </c>
      <c r="G21" s="23">
        <f>sector_data!H19</f>
        <v>0</v>
      </c>
      <c r="H21" s="23">
        <f>sector_data!I19</f>
        <v>0</v>
      </c>
      <c r="I21" s="23">
        <f>sector_data!J19</f>
        <v>0</v>
      </c>
      <c r="J21" s="23">
        <f>sector_data!K19</f>
        <v>0</v>
      </c>
      <c r="K21" s="24">
        <f>sector_data!L19</f>
        <v>0</v>
      </c>
      <c r="L21" s="24">
        <f>sector_data!M19</f>
        <v>0</v>
      </c>
    </row>
    <row r="22" spans="2:12">
      <c r="B22" s="18">
        <f>sector_data!A20</f>
        <v>0</v>
      </c>
      <c r="C22" s="19">
        <f>SUM(sector_data!B20,sector_data!D20)</f>
        <v>0</v>
      </c>
      <c r="D22" s="19">
        <f>sector_data!C20+sector_data!E20</f>
        <v>0</v>
      </c>
      <c r="E22" s="23">
        <f>sector_data!F20</f>
        <v>0</v>
      </c>
      <c r="F22" s="23">
        <f>sector_data!G20</f>
        <v>0</v>
      </c>
      <c r="G22" s="23">
        <f>sector_data!H20</f>
        <v>0</v>
      </c>
      <c r="H22" s="23">
        <f>sector_data!I20</f>
        <v>0</v>
      </c>
      <c r="I22" s="23">
        <f>sector_data!J20</f>
        <v>0</v>
      </c>
      <c r="J22" s="23">
        <f>sector_data!K20</f>
        <v>0</v>
      </c>
      <c r="K22" s="24">
        <f>sector_data!L20</f>
        <v>0</v>
      </c>
      <c r="L22" s="24">
        <f>sector_data!M20</f>
        <v>0</v>
      </c>
    </row>
    <row r="23" spans="2:12">
      <c r="B23" s="18">
        <f>sector_data!A21</f>
        <v>0</v>
      </c>
      <c r="C23" s="19">
        <f>SUM(sector_data!B21,sector_data!D21)</f>
        <v>0</v>
      </c>
      <c r="D23" s="19">
        <f>sector_data!C21+sector_data!E21</f>
        <v>0</v>
      </c>
      <c r="E23" s="23">
        <f>sector_data!F21</f>
        <v>0</v>
      </c>
      <c r="F23" s="23">
        <f>sector_data!G21</f>
        <v>0</v>
      </c>
      <c r="G23" s="23">
        <f>sector_data!H21</f>
        <v>0</v>
      </c>
      <c r="H23" s="23">
        <f>sector_data!I21</f>
        <v>0</v>
      </c>
      <c r="I23" s="23">
        <f>sector_data!J21</f>
        <v>0</v>
      </c>
      <c r="J23" s="23">
        <f>sector_data!K21</f>
        <v>0</v>
      </c>
      <c r="K23" s="24">
        <f>sector_data!L21</f>
        <v>0</v>
      </c>
      <c r="L23" s="24">
        <f>sector_data!M21</f>
        <v>0</v>
      </c>
    </row>
    <row r="24" spans="2:12">
      <c r="B24" s="18">
        <f>sector_data!A22</f>
        <v>0</v>
      </c>
      <c r="C24" s="19">
        <f>SUM(sector_data!B22,sector_data!D22)</f>
        <v>0</v>
      </c>
      <c r="D24" s="19">
        <f>sector_data!C22+sector_data!E22</f>
        <v>0</v>
      </c>
      <c r="E24" s="23">
        <f>sector_data!F22</f>
        <v>0</v>
      </c>
      <c r="F24" s="23">
        <f>sector_data!G22</f>
        <v>0</v>
      </c>
      <c r="G24" s="23">
        <f>sector_data!H22</f>
        <v>0</v>
      </c>
      <c r="H24" s="23">
        <f>sector_data!I22</f>
        <v>0</v>
      </c>
      <c r="I24" s="23">
        <f>sector_data!J22</f>
        <v>0</v>
      </c>
      <c r="J24" s="23">
        <f>sector_data!K22</f>
        <v>0</v>
      </c>
      <c r="K24" s="24">
        <f>sector_data!L22</f>
        <v>0</v>
      </c>
      <c r="L24" s="24">
        <f>sector_data!M22</f>
        <v>0</v>
      </c>
    </row>
    <row r="25" spans="2:12">
      <c r="B25" s="18">
        <f>sector_data!A23</f>
        <v>0</v>
      </c>
      <c r="C25" s="19">
        <f>SUM(sector_data!B23,sector_data!D23)</f>
        <v>0</v>
      </c>
      <c r="D25" s="19">
        <f>sector_data!C23+sector_data!E23</f>
        <v>0</v>
      </c>
      <c r="E25" s="23">
        <f>sector_data!F23</f>
        <v>0</v>
      </c>
      <c r="F25" s="23">
        <f>sector_data!G23</f>
        <v>0</v>
      </c>
      <c r="G25" s="23">
        <f>sector_data!H23</f>
        <v>0</v>
      </c>
      <c r="H25" s="23">
        <f>sector_data!I23</f>
        <v>0</v>
      </c>
      <c r="I25" s="23">
        <f>sector_data!J23</f>
        <v>0</v>
      </c>
      <c r="J25" s="23">
        <f>sector_data!K23</f>
        <v>0</v>
      </c>
      <c r="K25" s="24">
        <f>sector_data!L23</f>
        <v>0</v>
      </c>
      <c r="L25" s="24">
        <f>sector_data!M23</f>
        <v>0</v>
      </c>
    </row>
    <row r="26" spans="2:12">
      <c r="B26" s="18">
        <f>sector_data!A24</f>
        <v>0</v>
      </c>
      <c r="C26" s="19">
        <f>SUM(sector_data!B24,sector_data!D24)</f>
        <v>0</v>
      </c>
      <c r="D26" s="19">
        <f>sector_data!C24+sector_data!E24</f>
        <v>0</v>
      </c>
      <c r="E26" s="23">
        <f>sector_data!F24</f>
        <v>0</v>
      </c>
      <c r="F26" s="23">
        <f>sector_data!G24</f>
        <v>0</v>
      </c>
      <c r="G26" s="23">
        <f>sector_data!H24</f>
        <v>0</v>
      </c>
      <c r="H26" s="23">
        <f>sector_data!I24</f>
        <v>0</v>
      </c>
      <c r="I26" s="23">
        <f>sector_data!J24</f>
        <v>0</v>
      </c>
      <c r="J26" s="23">
        <f>sector_data!K24</f>
        <v>0</v>
      </c>
      <c r="K26" s="24">
        <f>sector_data!L24</f>
        <v>0</v>
      </c>
      <c r="L26" s="24">
        <f>sector_data!M24</f>
        <v>0</v>
      </c>
    </row>
    <row r="27" spans="2:12">
      <c r="B27" s="18">
        <f>sector_data!A25</f>
        <v>0</v>
      </c>
      <c r="C27" s="19">
        <f>SUM(sector_data!B25,sector_data!D25)</f>
        <v>0</v>
      </c>
      <c r="D27" s="19">
        <f>sector_data!C25+sector_data!E25</f>
        <v>0</v>
      </c>
      <c r="E27" s="23">
        <f>sector_data!F25</f>
        <v>0</v>
      </c>
      <c r="F27" s="23">
        <f>sector_data!G25</f>
        <v>0</v>
      </c>
      <c r="G27" s="23">
        <f>sector_data!H25</f>
        <v>0</v>
      </c>
      <c r="H27" s="23">
        <f>sector_data!I25</f>
        <v>0</v>
      </c>
      <c r="I27" s="23">
        <f>sector_data!J25</f>
        <v>0</v>
      </c>
      <c r="J27" s="23">
        <f>sector_data!K25</f>
        <v>0</v>
      </c>
      <c r="K27" s="24">
        <f>sector_data!L25</f>
        <v>0</v>
      </c>
      <c r="L27" s="24">
        <f>sector_data!M25</f>
        <v>0</v>
      </c>
    </row>
  </sheetData>
  <mergeCells count="5">
    <mergeCell ref="C2:D2"/>
    <mergeCell ref="E2:F2"/>
    <mergeCell ref="G2:H2"/>
    <mergeCell ref="I2:J2"/>
    <mergeCell ref="K2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6"/>
  <sheetViews>
    <sheetView workbookViewId="0">
      <selection activeCell="B2" sqref="B2:K18"/>
    </sheetView>
  </sheetViews>
  <sheetFormatPr defaultColWidth="9" defaultRowHeight="16.8"/>
  <cols>
    <col min="3" max="3" width="10.15625" style="14" customWidth="1"/>
    <col min="4" max="4" width="7.03125" style="14" customWidth="1"/>
    <col min="5" max="5" width="11.453125" style="14" customWidth="1"/>
    <col min="6" max="6" width="6.375" style="14" customWidth="1"/>
    <col min="7" max="7" width="9.8984375" style="14" customWidth="1"/>
    <col min="8" max="8" width="9.375" style="14" customWidth="1"/>
    <col min="9" max="9" width="12.2421875" style="14" customWidth="1"/>
    <col min="10" max="10" width="11.453125" style="14" customWidth="1"/>
    <col min="11" max="11" width="8.0703125" style="14" customWidth="1"/>
  </cols>
  <sheetData>
    <row r="2" ht="61" customHeight="1" spans="2:11">
      <c r="B2" s="1" t="s">
        <v>8</v>
      </c>
      <c r="C2" s="16" t="s">
        <v>9</v>
      </c>
      <c r="D2" s="17"/>
      <c r="E2" s="16" t="s">
        <v>10</v>
      </c>
      <c r="F2" s="17"/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</row>
    <row r="3" ht="17" spans="2:11">
      <c r="B3" s="18" t="str">
        <f>sector_data!A2</f>
        <v>c001</v>
      </c>
      <c r="C3" s="19">
        <f>sector_data!B2</f>
        <v>39</v>
      </c>
      <c r="D3" s="19">
        <f>sector_data!D2</f>
        <v>57</v>
      </c>
      <c r="E3" s="19">
        <f>sector_data!C2</f>
        <v>63</v>
      </c>
      <c r="F3" s="19">
        <f>sector_data!E2</f>
        <v>84</v>
      </c>
      <c r="G3" s="19">
        <f>sector_data!J2</f>
        <v>84</v>
      </c>
      <c r="H3" s="19">
        <f>sector_data!K2</f>
        <v>122</v>
      </c>
      <c r="I3" s="19">
        <f>sector_data!N2</f>
        <v>1.47</v>
      </c>
      <c r="J3" s="19">
        <f>sector_data!O2</f>
        <v>1.45</v>
      </c>
      <c r="K3" s="20">
        <f>sector_data!P2</f>
        <v>0.86</v>
      </c>
    </row>
    <row r="4" ht="17" spans="2:11">
      <c r="B4" s="18" t="str">
        <f>sector_data!A3</f>
        <v>c002</v>
      </c>
      <c r="C4" s="19">
        <f>sector_data!B3</f>
        <v>43</v>
      </c>
      <c r="D4" s="19">
        <f>sector_data!D3</f>
        <v>49</v>
      </c>
      <c r="E4" s="19">
        <f>sector_data!C3</f>
        <v>93</v>
      </c>
      <c r="F4" s="19">
        <f>sector_data!E3</f>
        <v>109</v>
      </c>
      <c r="G4" s="19">
        <f>sector_data!J3</f>
        <v>81</v>
      </c>
      <c r="H4" s="19">
        <f>sector_data!K3</f>
        <v>159</v>
      </c>
      <c r="I4" s="19">
        <f>sector_data!N3</f>
        <v>1.65</v>
      </c>
      <c r="J4" s="19">
        <f>sector_data!O3</f>
        <v>1.46</v>
      </c>
      <c r="K4" s="20">
        <f>sector_data!P3</f>
        <v>1</v>
      </c>
    </row>
    <row r="5" ht="17" spans="2:11">
      <c r="B5" s="18" t="str">
        <f>sector_data!A4</f>
        <v>c003</v>
      </c>
      <c r="C5" s="19">
        <f>sector_data!B4</f>
        <v>25</v>
      </c>
      <c r="D5" s="19">
        <f>sector_data!D4</f>
        <v>24</v>
      </c>
      <c r="E5" s="19">
        <f>sector_data!C4</f>
        <v>40</v>
      </c>
      <c r="F5" s="19">
        <f>sector_data!E4</f>
        <v>27</v>
      </c>
      <c r="G5" s="19">
        <f>sector_data!J4</f>
        <v>40</v>
      </c>
      <c r="H5" s="19">
        <f>sector_data!K4</f>
        <v>41</v>
      </c>
      <c r="I5" s="19">
        <f>sector_data!N4</f>
        <v>1.6</v>
      </c>
      <c r="J5" s="19">
        <f>sector_data!O4</f>
        <v>1.02</v>
      </c>
      <c r="K5" s="20">
        <f>sector_data!P4</f>
        <v>0.66</v>
      </c>
    </row>
    <row r="6" ht="17" spans="2:11">
      <c r="B6" s="18" t="str">
        <f>sector_data!A5</f>
        <v>c004</v>
      </c>
      <c r="C6" s="19">
        <f>sector_data!B5</f>
        <v>38</v>
      </c>
      <c r="D6" s="19">
        <f>sector_data!D5</f>
        <v>35</v>
      </c>
      <c r="E6" s="19">
        <f>sector_data!C5</f>
        <v>55</v>
      </c>
      <c r="F6" s="19">
        <f>sector_data!E5</f>
        <v>82</v>
      </c>
      <c r="G6" s="19">
        <f>sector_data!J5</f>
        <v>59</v>
      </c>
      <c r="H6" s="19">
        <f>sector_data!K5</f>
        <v>98</v>
      </c>
      <c r="I6" s="19">
        <f>sector_data!N5</f>
        <v>1.55</v>
      </c>
      <c r="J6" s="19">
        <f>sector_data!O5</f>
        <v>1.2</v>
      </c>
      <c r="K6" s="20">
        <f>sector_data!P5</f>
        <v>0.9</v>
      </c>
    </row>
    <row r="7" ht="17" spans="2:11">
      <c r="B7" s="18" t="str">
        <f>sector_data!A6</f>
        <v>c005</v>
      </c>
      <c r="C7" s="19">
        <f>sector_data!B6</f>
        <v>56</v>
      </c>
      <c r="D7" s="19">
        <f>sector_data!D6</f>
        <v>46</v>
      </c>
      <c r="E7" s="19">
        <f>sector_data!C6</f>
        <v>76</v>
      </c>
      <c r="F7" s="19">
        <f>sector_data!E6</f>
        <v>78</v>
      </c>
      <c r="G7" s="19">
        <f>sector_data!J6</f>
        <v>73</v>
      </c>
      <c r="H7" s="19">
        <f>sector_data!K6</f>
        <v>116</v>
      </c>
      <c r="I7" s="19">
        <f>sector_data!N6</f>
        <v>1.3</v>
      </c>
      <c r="J7" s="19">
        <f>sector_data!O6</f>
        <v>1.49</v>
      </c>
      <c r="K7" s="20">
        <f>sector_data!P6</f>
        <v>0.72</v>
      </c>
    </row>
    <row r="8" ht="17" spans="2:11">
      <c r="B8" s="18" t="str">
        <f>sector_data!A7</f>
        <v>c006</v>
      </c>
      <c r="C8" s="19">
        <f>sector_data!B7</f>
        <v>43</v>
      </c>
      <c r="D8" s="19">
        <f>sector_data!D7</f>
        <v>26</v>
      </c>
      <c r="E8" s="19">
        <f>sector_data!C7</f>
        <v>53</v>
      </c>
      <c r="F8" s="19">
        <f>sector_data!E7</f>
        <v>39</v>
      </c>
      <c r="G8" s="19">
        <f>sector_data!J7</f>
        <v>56</v>
      </c>
      <c r="H8" s="19">
        <f>sector_data!K7</f>
        <v>80</v>
      </c>
      <c r="I8" s="19">
        <f>sector_data!N7</f>
        <v>1.3</v>
      </c>
      <c r="J8" s="19">
        <f>sector_data!O7</f>
        <v>1.51</v>
      </c>
      <c r="K8" s="20">
        <f>sector_data!P7</f>
        <v>0.86</v>
      </c>
    </row>
    <row r="9" ht="17" spans="2:11">
      <c r="B9" s="18" t="str">
        <f>sector_data!A8</f>
        <v>c007</v>
      </c>
      <c r="C9" s="19">
        <f>sector_data!B8</f>
        <v>65</v>
      </c>
      <c r="D9" s="19">
        <f>sector_data!D8</f>
        <v>40</v>
      </c>
      <c r="E9" s="19">
        <f>sector_data!C8</f>
        <v>86</v>
      </c>
      <c r="F9" s="19">
        <f>sector_data!E8</f>
        <v>116</v>
      </c>
      <c r="G9" s="19">
        <f>sector_data!J8</f>
        <v>85</v>
      </c>
      <c r="H9" s="19">
        <f>sector_data!K8</f>
        <v>141</v>
      </c>
      <c r="I9" s="19">
        <f>sector_data!N8</f>
        <v>1.31</v>
      </c>
      <c r="J9" s="19">
        <f>sector_data!O8</f>
        <v>1.22</v>
      </c>
      <c r="K9" s="20">
        <f>sector_data!P8</f>
        <v>0.86</v>
      </c>
    </row>
    <row r="10" ht="17" spans="2:11">
      <c r="B10" s="18" t="str">
        <f>sector_data!A9</f>
        <v>c008</v>
      </c>
      <c r="C10" s="19">
        <f>sector_data!B9</f>
        <v>44</v>
      </c>
      <c r="D10" s="19">
        <f>sector_data!D9</f>
        <v>54</v>
      </c>
      <c r="E10" s="19">
        <f>sector_data!C9</f>
        <v>62</v>
      </c>
      <c r="F10" s="19">
        <f>sector_data!E9</f>
        <v>103</v>
      </c>
      <c r="G10" s="19">
        <f>sector_data!J9</f>
        <v>80</v>
      </c>
      <c r="H10" s="19">
        <f>sector_data!K9</f>
        <v>147</v>
      </c>
      <c r="I10" s="19">
        <f>sector_data!N9</f>
        <v>1.48</v>
      </c>
      <c r="J10" s="19">
        <f>sector_data!O9</f>
        <v>1.43</v>
      </c>
      <c r="K10" s="20">
        <f>sector_data!P9</f>
        <v>0.9</v>
      </c>
    </row>
    <row r="11" ht="17" spans="2:11">
      <c r="B11" s="18" t="str">
        <f>sector_data!A10</f>
        <v>c009</v>
      </c>
      <c r="C11" s="19">
        <f>sector_data!B10</f>
        <v>70</v>
      </c>
      <c r="D11" s="19">
        <f>sector_data!D10</f>
        <v>50</v>
      </c>
      <c r="E11" s="19">
        <f>sector_data!C10</f>
        <v>116</v>
      </c>
      <c r="F11" s="19">
        <f>sector_data!E10</f>
        <v>80</v>
      </c>
      <c r="G11" s="19">
        <f>sector_data!J10</f>
        <v>89</v>
      </c>
      <c r="H11" s="19">
        <f>sector_data!K10</f>
        <v>139</v>
      </c>
      <c r="I11" s="19">
        <f>sector_data!N10</f>
        <v>1.27</v>
      </c>
      <c r="J11" s="19">
        <f>sector_data!O10</f>
        <v>1.2</v>
      </c>
      <c r="K11" s="20">
        <f>sector_data!P10</f>
        <v>0.86</v>
      </c>
    </row>
    <row r="12" ht="17" spans="2:11">
      <c r="B12" s="18" t="str">
        <f>sector_data!A11</f>
        <v>c010</v>
      </c>
      <c r="C12" s="19">
        <f>sector_data!B11</f>
        <v>23</v>
      </c>
      <c r="D12" s="19">
        <f>sector_data!D11</f>
        <v>41</v>
      </c>
      <c r="E12" s="19">
        <f>sector_data!C11</f>
        <v>34</v>
      </c>
      <c r="F12" s="19">
        <f>sector_data!E11</f>
        <v>80</v>
      </c>
      <c r="G12" s="19">
        <f>sector_data!J11</f>
        <v>52</v>
      </c>
      <c r="H12" s="19">
        <f>sector_data!K11</f>
        <v>97</v>
      </c>
      <c r="I12" s="19">
        <f>sector_data!N11</f>
        <v>1.27</v>
      </c>
      <c r="J12" s="19">
        <f>sector_data!O11</f>
        <v>1.21</v>
      </c>
      <c r="K12" s="20">
        <f>sector_data!P11</f>
        <v>0.66</v>
      </c>
    </row>
    <row r="13" ht="17" spans="2:11">
      <c r="B13" s="18" t="str">
        <f>sector_data!A12</f>
        <v>c011</v>
      </c>
      <c r="C13" s="19">
        <f>sector_data!B12</f>
        <v>40</v>
      </c>
      <c r="D13" s="19">
        <f>sector_data!D12</f>
        <v>40</v>
      </c>
      <c r="E13" s="19">
        <f>sector_data!C12</f>
        <v>80</v>
      </c>
      <c r="F13" s="19">
        <f>sector_data!E12</f>
        <v>69</v>
      </c>
      <c r="G13" s="19">
        <f>sector_data!J12</f>
        <v>38</v>
      </c>
      <c r="H13" s="19">
        <f>sector_data!K12</f>
        <v>70</v>
      </c>
      <c r="I13" s="19">
        <f>sector_data!N12</f>
        <v>0.95</v>
      </c>
      <c r="J13" s="19">
        <f>sector_data!O12</f>
        <v>0.88</v>
      </c>
      <c r="K13" s="20">
        <f>sector_data!P12</f>
        <v>0.79</v>
      </c>
    </row>
    <row r="14" ht="17" spans="2:11">
      <c r="B14" s="18" t="str">
        <f>sector_data!A13</f>
        <v>c012</v>
      </c>
      <c r="C14" s="19">
        <f>sector_data!B13</f>
        <v>64</v>
      </c>
      <c r="D14" s="19">
        <f>sector_data!D13</f>
        <v>49</v>
      </c>
      <c r="E14" s="19">
        <f>sector_data!C13</f>
        <v>97</v>
      </c>
      <c r="F14" s="19">
        <f>sector_data!E13</f>
        <v>60</v>
      </c>
      <c r="G14" s="19">
        <f>sector_data!J13</f>
        <v>92</v>
      </c>
      <c r="H14" s="19">
        <f>sector_data!K13</f>
        <v>134</v>
      </c>
      <c r="I14" s="19">
        <f>sector_data!N13</f>
        <v>1.44</v>
      </c>
      <c r="J14" s="19">
        <f>sector_data!O13</f>
        <v>1.38</v>
      </c>
      <c r="K14" s="20">
        <f>sector_data!P13</f>
        <v>0.93</v>
      </c>
    </row>
    <row r="15" ht="17" spans="2:11">
      <c r="B15" s="18" t="str">
        <f>sector_data!A14</f>
        <v>c014</v>
      </c>
      <c r="C15" s="19">
        <f>sector_data!B14</f>
        <v>63</v>
      </c>
      <c r="D15" s="19">
        <f>sector_data!D14</f>
        <v>43</v>
      </c>
      <c r="E15" s="19">
        <f>sector_data!C14</f>
        <v>90</v>
      </c>
      <c r="F15" s="19">
        <f>sector_data!E14</f>
        <v>87</v>
      </c>
      <c r="G15" s="19">
        <f>sector_data!J14</f>
        <v>86</v>
      </c>
      <c r="H15" s="19">
        <f>sector_data!K14</f>
        <v>110</v>
      </c>
      <c r="I15" s="19">
        <f>sector_data!N14</f>
        <v>1.37</v>
      </c>
      <c r="J15" s="19">
        <f>sector_data!O14</f>
        <v>1.22</v>
      </c>
      <c r="K15" s="20">
        <f>sector_data!P14</f>
        <v>0.86</v>
      </c>
    </row>
    <row r="16" ht="17" spans="2:11">
      <c r="B16" s="18" t="str">
        <f>sector_data!A15</f>
        <v>c016</v>
      </c>
      <c r="C16" s="19">
        <f>sector_data!B15</f>
        <v>24</v>
      </c>
      <c r="D16" s="19">
        <f>sector_data!D15</f>
        <v>39</v>
      </c>
      <c r="E16" s="19">
        <f>sector_data!C15</f>
        <v>30</v>
      </c>
      <c r="F16" s="19">
        <f>sector_data!E15</f>
        <v>70</v>
      </c>
      <c r="G16" s="19">
        <f>sector_data!J15</f>
        <v>54</v>
      </c>
      <c r="H16" s="19">
        <f>sector_data!K15</f>
        <v>87</v>
      </c>
      <c r="I16" s="19">
        <f>sector_data!N15</f>
        <v>1.38</v>
      </c>
      <c r="J16" s="19">
        <f>sector_data!O15</f>
        <v>1.24</v>
      </c>
      <c r="K16" s="20">
        <f>sector_data!P15</f>
        <v>0.72</v>
      </c>
    </row>
    <row r="17" ht="17" spans="2:11">
      <c r="B17" s="18" t="str">
        <f>sector_data!A16</f>
        <v>c017</v>
      </c>
      <c r="C17" s="19">
        <f>sector_data!B16</f>
        <v>29</v>
      </c>
      <c r="D17" s="19">
        <f>sector_data!D16</f>
        <v>31</v>
      </c>
      <c r="E17" s="19">
        <f>sector_data!C16</f>
        <v>40</v>
      </c>
      <c r="F17" s="19">
        <f>sector_data!E16</f>
        <v>72</v>
      </c>
      <c r="G17" s="19">
        <f>sector_data!J16</f>
        <v>49</v>
      </c>
      <c r="H17" s="19">
        <f>sector_data!K16</f>
        <v>91</v>
      </c>
      <c r="I17" s="19">
        <f>sector_data!N16</f>
        <v>1.58</v>
      </c>
      <c r="J17" s="19">
        <f>sector_data!O16</f>
        <v>1.26</v>
      </c>
      <c r="K17" s="20">
        <f>sector_data!P16</f>
        <v>0.76</v>
      </c>
    </row>
    <row r="18" ht="17" spans="2:11">
      <c r="B18" s="18">
        <f>sector_data!A17</f>
        <v>0</v>
      </c>
      <c r="C18" s="19">
        <f>sector_data!B17</f>
        <v>0</v>
      </c>
      <c r="D18" s="19">
        <f>sector_data!D17</f>
        <v>0</v>
      </c>
      <c r="E18" s="19">
        <f>sector_data!C17</f>
        <v>0</v>
      </c>
      <c r="F18" s="19">
        <f>sector_data!E17</f>
        <v>0</v>
      </c>
      <c r="G18" s="19">
        <f>sector_data!J17</f>
        <v>0</v>
      </c>
      <c r="H18" s="19">
        <f>sector_data!K17</f>
        <v>0</v>
      </c>
      <c r="I18" s="19">
        <f>sector_data!N17</f>
        <v>0</v>
      </c>
      <c r="J18" s="19">
        <f>sector_data!O17</f>
        <v>0</v>
      </c>
      <c r="K18" s="20">
        <f>sector_data!P17</f>
        <v>0</v>
      </c>
    </row>
    <row r="19" spans="2:11">
      <c r="B19" s="18">
        <f>sector_data!A18</f>
        <v>0</v>
      </c>
      <c r="C19" s="19">
        <f>sector_data!B18</f>
        <v>0</v>
      </c>
      <c r="D19" s="19">
        <f>sector_data!D18</f>
        <v>0</v>
      </c>
      <c r="E19" s="19">
        <f>sector_data!C18</f>
        <v>0</v>
      </c>
      <c r="F19" s="19">
        <f>sector_data!E18</f>
        <v>0</v>
      </c>
      <c r="G19" s="19">
        <f>sector_data!J18</f>
        <v>0</v>
      </c>
      <c r="H19" s="19">
        <f>sector_data!K18</f>
        <v>0</v>
      </c>
      <c r="I19" s="19">
        <f>sector_data!N18</f>
        <v>0</v>
      </c>
      <c r="J19" s="19">
        <f>sector_data!O18</f>
        <v>0</v>
      </c>
      <c r="K19" s="20">
        <f>sector_data!P18</f>
        <v>0</v>
      </c>
    </row>
    <row r="20" spans="2:11">
      <c r="B20" s="18">
        <f>sector_data!A19</f>
        <v>0</v>
      </c>
      <c r="C20" s="19">
        <f>sector_data!B19</f>
        <v>0</v>
      </c>
      <c r="D20" s="19">
        <f>sector_data!D19</f>
        <v>0</v>
      </c>
      <c r="E20" s="19">
        <f>sector_data!C19</f>
        <v>0</v>
      </c>
      <c r="F20" s="19">
        <f>sector_data!E19</f>
        <v>0</v>
      </c>
      <c r="G20" s="19">
        <f>sector_data!J19</f>
        <v>0</v>
      </c>
      <c r="H20" s="19">
        <f>sector_data!K19</f>
        <v>0</v>
      </c>
      <c r="I20" s="19">
        <f>sector_data!N19</f>
        <v>0</v>
      </c>
      <c r="J20" s="19">
        <f>sector_data!O19</f>
        <v>0</v>
      </c>
      <c r="K20" s="20">
        <f>sector_data!P19</f>
        <v>0</v>
      </c>
    </row>
    <row r="21" spans="2:11">
      <c r="B21" s="18">
        <f>sector_data!A20</f>
        <v>0</v>
      </c>
      <c r="C21" s="19">
        <f>sector_data!B20</f>
        <v>0</v>
      </c>
      <c r="D21" s="19">
        <f>sector_data!D20</f>
        <v>0</v>
      </c>
      <c r="E21" s="19">
        <f>sector_data!C20</f>
        <v>0</v>
      </c>
      <c r="F21" s="19">
        <f>sector_data!E20</f>
        <v>0</v>
      </c>
      <c r="G21" s="19">
        <f>sector_data!J20</f>
        <v>0</v>
      </c>
      <c r="H21" s="19">
        <f>sector_data!K20</f>
        <v>0</v>
      </c>
      <c r="I21" s="19">
        <f>sector_data!N20</f>
        <v>0</v>
      </c>
      <c r="J21" s="19">
        <f>sector_data!O20</f>
        <v>0</v>
      </c>
      <c r="K21" s="20">
        <f>sector_data!P20</f>
        <v>0</v>
      </c>
    </row>
    <row r="22" spans="2:11">
      <c r="B22" s="18">
        <f>sector_data!A21</f>
        <v>0</v>
      </c>
      <c r="C22" s="19">
        <f>sector_data!B21</f>
        <v>0</v>
      </c>
      <c r="D22" s="19">
        <f>sector_data!D21</f>
        <v>0</v>
      </c>
      <c r="E22" s="19">
        <f>sector_data!C21</f>
        <v>0</v>
      </c>
      <c r="F22" s="19">
        <f>sector_data!E21</f>
        <v>0</v>
      </c>
      <c r="G22" s="19">
        <f>sector_data!J21</f>
        <v>0</v>
      </c>
      <c r="H22" s="19">
        <f>sector_data!K21</f>
        <v>0</v>
      </c>
      <c r="I22" s="19">
        <f>sector_data!N21</f>
        <v>0</v>
      </c>
      <c r="J22" s="19">
        <f>sector_data!O21</f>
        <v>0</v>
      </c>
      <c r="K22" s="20">
        <f>sector_data!P21</f>
        <v>0</v>
      </c>
    </row>
    <row r="23" spans="2:11">
      <c r="B23" s="18">
        <f>sector_data!A22</f>
        <v>0</v>
      </c>
      <c r="C23" s="19">
        <f>sector_data!B22</f>
        <v>0</v>
      </c>
      <c r="D23" s="19">
        <f>sector_data!D22</f>
        <v>0</v>
      </c>
      <c r="E23" s="19">
        <f>sector_data!C22</f>
        <v>0</v>
      </c>
      <c r="F23" s="19">
        <f>sector_data!E22</f>
        <v>0</v>
      </c>
      <c r="G23" s="19">
        <f>sector_data!J22</f>
        <v>0</v>
      </c>
      <c r="H23" s="19">
        <f>sector_data!K22</f>
        <v>0</v>
      </c>
      <c r="I23" s="19">
        <f>sector_data!N22</f>
        <v>0</v>
      </c>
      <c r="J23" s="19">
        <f>sector_data!O22</f>
        <v>0</v>
      </c>
      <c r="K23" s="20">
        <f>sector_data!P22</f>
        <v>0</v>
      </c>
    </row>
    <row r="24" spans="2:11">
      <c r="B24" s="18">
        <f>sector_data!A23</f>
        <v>0</v>
      </c>
      <c r="C24" s="19">
        <f>sector_data!B23</f>
        <v>0</v>
      </c>
      <c r="D24" s="19">
        <f>sector_data!D23</f>
        <v>0</v>
      </c>
      <c r="E24" s="19">
        <f>sector_data!C23</f>
        <v>0</v>
      </c>
      <c r="F24" s="19">
        <f>sector_data!E23</f>
        <v>0</v>
      </c>
      <c r="G24" s="19">
        <f>sector_data!J23</f>
        <v>0</v>
      </c>
      <c r="H24" s="19">
        <f>sector_data!K23</f>
        <v>0</v>
      </c>
      <c r="I24" s="19">
        <f>sector_data!N23</f>
        <v>0</v>
      </c>
      <c r="J24" s="19">
        <f>sector_data!O23</f>
        <v>0</v>
      </c>
      <c r="K24" s="20">
        <f>sector_data!P23</f>
        <v>0</v>
      </c>
    </row>
    <row r="25" spans="2:11">
      <c r="B25" s="18">
        <f>sector_data!A24</f>
        <v>0</v>
      </c>
      <c r="C25" s="19">
        <f>sector_data!B24</f>
        <v>0</v>
      </c>
      <c r="D25" s="19">
        <f>sector_data!D24</f>
        <v>0</v>
      </c>
      <c r="E25" s="19">
        <f>sector_data!C24</f>
        <v>0</v>
      </c>
      <c r="F25" s="19">
        <f>sector_data!E24</f>
        <v>0</v>
      </c>
      <c r="G25" s="19">
        <f>sector_data!J24</f>
        <v>0</v>
      </c>
      <c r="H25" s="19">
        <f>sector_data!K24</f>
        <v>0</v>
      </c>
      <c r="I25" s="19">
        <f>sector_data!N24</f>
        <v>0</v>
      </c>
      <c r="J25" s="19">
        <f>sector_data!O24</f>
        <v>0</v>
      </c>
      <c r="K25" s="20">
        <f>sector_data!P24</f>
        <v>0</v>
      </c>
    </row>
    <row r="26" spans="2:11">
      <c r="B26" s="18">
        <f>sector_data!A25</f>
        <v>0</v>
      </c>
      <c r="C26" s="19">
        <f>sector_data!B25</f>
        <v>0</v>
      </c>
      <c r="D26" s="19">
        <f>sector_data!D25</f>
        <v>0</v>
      </c>
      <c r="E26" s="19">
        <f>sector_data!C25</f>
        <v>0</v>
      </c>
      <c r="F26" s="19">
        <f>sector_data!E25</f>
        <v>0</v>
      </c>
      <c r="G26" s="19">
        <f>sector_data!J25</f>
        <v>0</v>
      </c>
      <c r="H26" s="19">
        <f>sector_data!K25</f>
        <v>0</v>
      </c>
      <c r="I26" s="19">
        <f>sector_data!N25</f>
        <v>0</v>
      </c>
      <c r="J26" s="19">
        <f>sector_data!O25</f>
        <v>0</v>
      </c>
      <c r="K26" s="20">
        <f>sector_data!P25</f>
        <v>0</v>
      </c>
    </row>
  </sheetData>
  <mergeCells count="2">
    <mergeCell ref="C2:D2"/>
    <mergeCell ref="E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A17" sqref="$A17:$XFD17"/>
    </sheetView>
  </sheetViews>
  <sheetFormatPr defaultColWidth="8.4375" defaultRowHeight="16.8"/>
  <cols>
    <col min="1" max="16384" width="8.4375" style="15"/>
  </cols>
  <sheetData>
    <row r="1" s="15" customFormat="1" spans="1:16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</row>
    <row r="2" s="15" customFormat="1" spans="1:16">
      <c r="A2" s="15" t="s">
        <v>32</v>
      </c>
      <c r="B2" s="15">
        <v>39</v>
      </c>
      <c r="C2" s="15">
        <v>63</v>
      </c>
      <c r="D2" s="15">
        <v>57</v>
      </c>
      <c r="E2" s="15">
        <v>84</v>
      </c>
      <c r="F2" s="15">
        <v>95</v>
      </c>
      <c r="G2" s="15">
        <v>141</v>
      </c>
      <c r="H2" s="15">
        <v>91</v>
      </c>
      <c r="I2" s="15">
        <v>123</v>
      </c>
      <c r="J2" s="15">
        <v>84</v>
      </c>
      <c r="K2" s="15">
        <v>122</v>
      </c>
      <c r="L2" s="15">
        <v>0.88</v>
      </c>
      <c r="M2" s="15">
        <v>0.83</v>
      </c>
      <c r="N2" s="15">
        <v>1.47</v>
      </c>
      <c r="O2" s="15">
        <v>1.45</v>
      </c>
      <c r="P2" s="15">
        <v>0.86</v>
      </c>
    </row>
    <row r="3" s="15" customFormat="1" spans="1:16">
      <c r="A3" s="15" t="s">
        <v>33</v>
      </c>
      <c r="B3" s="15">
        <v>43</v>
      </c>
      <c r="C3" s="15">
        <v>93</v>
      </c>
      <c r="D3" s="15">
        <v>49</v>
      </c>
      <c r="E3" s="15">
        <v>109</v>
      </c>
      <c r="F3" s="15">
        <v>91</v>
      </c>
      <c r="G3" s="15">
        <v>200</v>
      </c>
      <c r="H3" s="15">
        <v>86</v>
      </c>
      <c r="I3" s="15">
        <v>159</v>
      </c>
      <c r="J3" s="15">
        <v>81</v>
      </c>
      <c r="K3" s="15">
        <v>159</v>
      </c>
      <c r="L3" s="15">
        <v>0.88</v>
      </c>
      <c r="M3" s="15">
        <v>0.79</v>
      </c>
      <c r="N3" s="15">
        <v>1.65</v>
      </c>
      <c r="O3" s="15">
        <v>1.46</v>
      </c>
      <c r="P3" s="15">
        <v>1</v>
      </c>
    </row>
    <row r="4" s="15" customFormat="1" spans="1:16">
      <c r="A4" s="15" t="s">
        <v>34</v>
      </c>
      <c r="B4" s="15">
        <v>25</v>
      </c>
      <c r="C4" s="15">
        <v>40</v>
      </c>
      <c r="D4" s="15">
        <v>24</v>
      </c>
      <c r="E4" s="15">
        <v>27</v>
      </c>
      <c r="F4" s="15">
        <v>49</v>
      </c>
      <c r="G4" s="15">
        <v>53</v>
      </c>
      <c r="H4" s="15">
        <v>45</v>
      </c>
      <c r="I4" s="15">
        <v>41</v>
      </c>
      <c r="J4" s="15">
        <v>40</v>
      </c>
      <c r="K4" s="15">
        <v>41</v>
      </c>
      <c r="L4" s="15">
        <v>0.82</v>
      </c>
      <c r="M4" s="15">
        <v>0.61</v>
      </c>
      <c r="N4" s="15">
        <v>1.6</v>
      </c>
      <c r="O4" s="15">
        <v>1.02</v>
      </c>
      <c r="P4" s="15">
        <v>0.66</v>
      </c>
    </row>
    <row r="5" s="15" customFormat="1" spans="1:16">
      <c r="A5" s="15" t="s">
        <v>35</v>
      </c>
      <c r="B5" s="15">
        <v>38</v>
      </c>
      <c r="C5" s="15">
        <v>55</v>
      </c>
      <c r="D5" s="15">
        <v>35</v>
      </c>
      <c r="E5" s="15">
        <v>82</v>
      </c>
      <c r="F5" s="15">
        <v>73</v>
      </c>
      <c r="G5" s="15">
        <v>134</v>
      </c>
      <c r="H5" s="15">
        <v>71</v>
      </c>
      <c r="I5" s="15">
        <v>108</v>
      </c>
      <c r="J5" s="15">
        <v>59</v>
      </c>
      <c r="K5" s="15">
        <v>98</v>
      </c>
      <c r="L5" s="15">
        <v>0.81</v>
      </c>
      <c r="M5" s="15">
        <v>0.72</v>
      </c>
      <c r="N5" s="15">
        <v>1.55</v>
      </c>
      <c r="O5" s="15">
        <v>1.2</v>
      </c>
      <c r="P5" s="15">
        <v>0.9</v>
      </c>
    </row>
    <row r="6" s="15" customFormat="1" spans="1:16">
      <c r="A6" s="15" t="s">
        <v>36</v>
      </c>
      <c r="B6" s="15">
        <v>56</v>
      </c>
      <c r="C6" s="15">
        <v>76</v>
      </c>
      <c r="D6" s="15">
        <v>46</v>
      </c>
      <c r="E6" s="15">
        <v>78</v>
      </c>
      <c r="F6" s="15">
        <v>102</v>
      </c>
      <c r="G6" s="15">
        <v>152</v>
      </c>
      <c r="H6" s="15">
        <v>94</v>
      </c>
      <c r="I6" s="15">
        <v>118</v>
      </c>
      <c r="J6" s="15">
        <v>73</v>
      </c>
      <c r="K6" s="15">
        <v>116</v>
      </c>
      <c r="L6" s="15">
        <v>0.72</v>
      </c>
      <c r="M6" s="15">
        <v>0.75</v>
      </c>
      <c r="N6" s="15">
        <v>1.3</v>
      </c>
      <c r="O6" s="15">
        <v>1.49</v>
      </c>
      <c r="P6" s="15">
        <v>0.72</v>
      </c>
    </row>
    <row r="7" s="15" customFormat="1" spans="1:16">
      <c r="A7" s="15" t="s">
        <v>37</v>
      </c>
      <c r="B7" s="15">
        <v>43</v>
      </c>
      <c r="C7" s="15">
        <v>53</v>
      </c>
      <c r="D7" s="15">
        <v>26</v>
      </c>
      <c r="E7" s="15">
        <v>39</v>
      </c>
      <c r="F7" s="15">
        <v>68</v>
      </c>
      <c r="G7" s="15">
        <v>90</v>
      </c>
      <c r="H7" s="15">
        <v>65</v>
      </c>
      <c r="I7" s="15">
        <v>81</v>
      </c>
      <c r="J7" s="15">
        <v>56</v>
      </c>
      <c r="K7" s="15">
        <v>80</v>
      </c>
      <c r="L7" s="15">
        <v>0.81</v>
      </c>
      <c r="M7" s="15">
        <v>0.87</v>
      </c>
      <c r="N7" s="15">
        <v>1.3</v>
      </c>
      <c r="O7" s="15">
        <v>1.51</v>
      </c>
      <c r="P7" s="15">
        <v>0.86</v>
      </c>
    </row>
    <row r="8" s="15" customFormat="1" spans="1:16">
      <c r="A8" s="15" t="s">
        <v>38</v>
      </c>
      <c r="B8" s="15">
        <v>65</v>
      </c>
      <c r="C8" s="15">
        <v>86</v>
      </c>
      <c r="D8" s="15">
        <v>40</v>
      </c>
      <c r="E8" s="15">
        <v>116</v>
      </c>
      <c r="F8" s="15">
        <v>102</v>
      </c>
      <c r="G8" s="15">
        <v>202</v>
      </c>
      <c r="H8" s="15">
        <v>96</v>
      </c>
      <c r="I8" s="15">
        <v>143</v>
      </c>
      <c r="J8" s="15">
        <v>85</v>
      </c>
      <c r="K8" s="15">
        <v>141</v>
      </c>
      <c r="L8" s="15">
        <v>0.81</v>
      </c>
      <c r="M8" s="15">
        <v>0.7</v>
      </c>
      <c r="N8" s="15">
        <v>1.31</v>
      </c>
      <c r="O8" s="15">
        <v>1.22</v>
      </c>
      <c r="P8" s="15">
        <v>0.86</v>
      </c>
    </row>
    <row r="9" s="15" customFormat="1" spans="1:16">
      <c r="A9" s="15" t="s">
        <v>39</v>
      </c>
      <c r="B9" s="15">
        <v>44</v>
      </c>
      <c r="C9" s="15">
        <v>62</v>
      </c>
      <c r="D9" s="15">
        <v>54</v>
      </c>
      <c r="E9" s="15">
        <v>103</v>
      </c>
      <c r="F9" s="15">
        <v>98</v>
      </c>
      <c r="G9" s="15">
        <v>165</v>
      </c>
      <c r="H9" s="15">
        <v>95</v>
      </c>
      <c r="I9" s="15">
        <v>153</v>
      </c>
      <c r="J9" s="15">
        <v>80</v>
      </c>
      <c r="K9" s="15">
        <v>147</v>
      </c>
      <c r="L9" s="15">
        <v>0.82</v>
      </c>
      <c r="M9" s="15">
        <v>0.89</v>
      </c>
      <c r="N9" s="15">
        <v>1.48</v>
      </c>
      <c r="O9" s="15">
        <v>1.43</v>
      </c>
      <c r="P9" s="15">
        <v>0.9</v>
      </c>
    </row>
    <row r="10" s="15" customFormat="1" spans="1:16">
      <c r="A10" s="15" t="s">
        <v>40</v>
      </c>
      <c r="B10" s="15">
        <v>70</v>
      </c>
      <c r="C10" s="15">
        <v>116</v>
      </c>
      <c r="D10" s="15">
        <v>50</v>
      </c>
      <c r="E10" s="15">
        <v>80</v>
      </c>
      <c r="F10" s="15">
        <v>120</v>
      </c>
      <c r="G10" s="15">
        <v>194</v>
      </c>
      <c r="H10" s="15">
        <v>115</v>
      </c>
      <c r="I10" s="15">
        <v>158</v>
      </c>
      <c r="J10" s="15">
        <v>89</v>
      </c>
      <c r="K10" s="15">
        <v>139</v>
      </c>
      <c r="L10" s="15">
        <v>0.74</v>
      </c>
      <c r="M10" s="15">
        <v>0.71</v>
      </c>
      <c r="N10" s="15">
        <v>1.27</v>
      </c>
      <c r="O10" s="15">
        <v>1.2</v>
      </c>
      <c r="P10" s="15">
        <v>0.86</v>
      </c>
    </row>
    <row r="11" s="15" customFormat="1" spans="1:16">
      <c r="A11" s="15" t="s">
        <v>41</v>
      </c>
      <c r="B11" s="15">
        <v>23</v>
      </c>
      <c r="C11" s="15">
        <v>34</v>
      </c>
      <c r="D11" s="15">
        <v>41</v>
      </c>
      <c r="E11" s="15">
        <v>80</v>
      </c>
      <c r="F11" s="15">
        <v>64</v>
      </c>
      <c r="G11" s="15">
        <v>113</v>
      </c>
      <c r="H11" s="15">
        <v>64</v>
      </c>
      <c r="I11" s="15">
        <v>111</v>
      </c>
      <c r="J11" s="15">
        <v>52</v>
      </c>
      <c r="K11" s="15">
        <v>97</v>
      </c>
      <c r="L11" s="15">
        <v>0.81</v>
      </c>
      <c r="M11" s="15">
        <v>0.85</v>
      </c>
      <c r="N11" s="15">
        <v>1.27</v>
      </c>
      <c r="O11" s="15">
        <v>1.21</v>
      </c>
      <c r="P11" s="15">
        <v>0.66</v>
      </c>
    </row>
    <row r="12" s="15" customFormat="1" spans="1:16">
      <c r="A12" s="15" t="s">
        <v>42</v>
      </c>
      <c r="B12" s="15">
        <v>40</v>
      </c>
      <c r="C12" s="15">
        <v>80</v>
      </c>
      <c r="D12" s="15">
        <v>40</v>
      </c>
      <c r="E12" s="15">
        <v>69</v>
      </c>
      <c r="F12" s="15">
        <v>72</v>
      </c>
      <c r="G12" s="15">
        <v>84</v>
      </c>
      <c r="H12" s="15">
        <v>67</v>
      </c>
      <c r="I12" s="15">
        <v>71</v>
      </c>
      <c r="J12" s="15">
        <v>38</v>
      </c>
      <c r="K12" s="15">
        <v>70</v>
      </c>
      <c r="L12" s="15">
        <v>0.47</v>
      </c>
      <c r="M12" s="15">
        <v>0.47</v>
      </c>
      <c r="N12" s="15">
        <v>0.95</v>
      </c>
      <c r="O12" s="15">
        <v>0.88</v>
      </c>
      <c r="P12" s="15">
        <v>0.79</v>
      </c>
    </row>
    <row r="13" s="15" customFormat="1" spans="1:16">
      <c r="A13" s="15" t="s">
        <v>43</v>
      </c>
      <c r="B13" s="15">
        <v>64</v>
      </c>
      <c r="C13" s="15">
        <v>97</v>
      </c>
      <c r="D13" s="15">
        <v>49</v>
      </c>
      <c r="E13" s="15">
        <v>60</v>
      </c>
      <c r="F13" s="15">
        <v>112</v>
      </c>
      <c r="G13" s="15">
        <v>157</v>
      </c>
      <c r="H13" s="15">
        <v>110</v>
      </c>
      <c r="I13" s="15">
        <v>141</v>
      </c>
      <c r="J13" s="15">
        <v>92</v>
      </c>
      <c r="K13" s="15">
        <v>134</v>
      </c>
      <c r="L13" s="15">
        <v>0.81</v>
      </c>
      <c r="M13" s="15">
        <v>0.85</v>
      </c>
      <c r="N13" s="15">
        <v>1.44</v>
      </c>
      <c r="O13" s="15">
        <v>1.38</v>
      </c>
      <c r="P13" s="15">
        <v>0.93</v>
      </c>
    </row>
    <row r="14" s="15" customFormat="1" spans="1:16">
      <c r="A14" s="15" t="s">
        <v>44</v>
      </c>
      <c r="B14" s="15">
        <v>63</v>
      </c>
      <c r="C14" s="15">
        <v>90</v>
      </c>
      <c r="D14" s="15">
        <v>43</v>
      </c>
      <c r="E14" s="15">
        <v>87</v>
      </c>
      <c r="F14" s="15">
        <v>106</v>
      </c>
      <c r="G14" s="15">
        <v>177</v>
      </c>
      <c r="H14" s="15">
        <v>104</v>
      </c>
      <c r="I14" s="15">
        <v>117</v>
      </c>
      <c r="J14" s="15">
        <v>86</v>
      </c>
      <c r="K14" s="15">
        <v>110</v>
      </c>
      <c r="L14" s="15">
        <v>0.81</v>
      </c>
      <c r="M14" s="15">
        <v>0.62</v>
      </c>
      <c r="N14" s="15">
        <v>1.37</v>
      </c>
      <c r="O14" s="15">
        <v>1.22</v>
      </c>
      <c r="P14" s="15">
        <v>0.86</v>
      </c>
    </row>
    <row r="15" s="15" customFormat="1" spans="1:16">
      <c r="A15" s="15" t="s">
        <v>45</v>
      </c>
      <c r="B15" s="15">
        <v>24</v>
      </c>
      <c r="C15" s="15">
        <v>30</v>
      </c>
      <c r="D15" s="15">
        <v>39</v>
      </c>
      <c r="E15" s="15">
        <v>70</v>
      </c>
      <c r="F15" s="15">
        <v>63</v>
      </c>
      <c r="G15" s="15">
        <v>100</v>
      </c>
      <c r="H15" s="15">
        <v>59</v>
      </c>
      <c r="I15" s="15">
        <v>87</v>
      </c>
      <c r="J15" s="15">
        <v>54</v>
      </c>
      <c r="K15" s="15">
        <v>87</v>
      </c>
      <c r="L15" s="15">
        <v>0.86</v>
      </c>
      <c r="M15" s="15">
        <v>0.87</v>
      </c>
      <c r="N15" s="15">
        <v>1.38</v>
      </c>
      <c r="O15" s="15">
        <v>1.24</v>
      </c>
      <c r="P15" s="15">
        <v>0.72</v>
      </c>
    </row>
    <row r="16" s="15" customFormat="1" spans="1:16">
      <c r="A16" s="15" t="s">
        <v>46</v>
      </c>
      <c r="B16" s="15">
        <v>29</v>
      </c>
      <c r="C16" s="15">
        <v>40</v>
      </c>
      <c r="D16" s="15">
        <v>31</v>
      </c>
      <c r="E16" s="15">
        <v>72</v>
      </c>
      <c r="F16" s="15">
        <v>60</v>
      </c>
      <c r="G16" s="15">
        <v>112</v>
      </c>
      <c r="H16" s="15">
        <v>57</v>
      </c>
      <c r="I16" s="15">
        <v>93</v>
      </c>
      <c r="J16" s="15">
        <v>49</v>
      </c>
      <c r="K16" s="15">
        <v>91</v>
      </c>
      <c r="L16" s="15">
        <v>0.82</v>
      </c>
      <c r="M16" s="15">
        <v>0.81</v>
      </c>
      <c r="N16" s="15">
        <v>1.58</v>
      </c>
      <c r="O16" s="15">
        <v>1.26</v>
      </c>
      <c r="P16" s="15">
        <v>0.76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opLeftCell="A5" workbookViewId="0">
      <selection activeCell="J27" sqref="J27"/>
    </sheetView>
  </sheetViews>
  <sheetFormatPr defaultColWidth="9" defaultRowHeight="16.8"/>
  <cols>
    <col min="2" max="2" width="8.984375" customWidth="1"/>
    <col min="3" max="3" width="11.3203125" customWidth="1"/>
    <col min="8" max="8" width="11.328125" customWidth="1"/>
    <col min="9" max="9" width="11.0703125" customWidth="1"/>
    <col min="10" max="10" width="15.1875" customWidth="1"/>
  </cols>
  <sheetData>
    <row r="1" s="8" customFormat="1" ht="63" customHeight="1" spans="1:10">
      <c r="A1" s="8" t="s">
        <v>8</v>
      </c>
      <c r="B1" s="11" t="s">
        <v>47</v>
      </c>
      <c r="C1" s="11"/>
      <c r="D1" s="11" t="s">
        <v>48</v>
      </c>
      <c r="E1" s="11"/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0">
      <c r="A2" t="s">
        <v>49</v>
      </c>
      <c r="B2">
        <v>37</v>
      </c>
      <c r="C2">
        <v>36</v>
      </c>
      <c r="D2">
        <v>64</v>
      </c>
      <c r="E2">
        <v>60</v>
      </c>
      <c r="F2">
        <v>63</v>
      </c>
      <c r="G2">
        <v>106</v>
      </c>
      <c r="H2">
        <v>1.7</v>
      </c>
      <c r="I2">
        <v>1.66</v>
      </c>
      <c r="J2" s="13">
        <v>0.83</v>
      </c>
    </row>
    <row r="3" spans="1:10">
      <c r="A3" t="s">
        <v>50</v>
      </c>
      <c r="B3">
        <v>33</v>
      </c>
      <c r="C3">
        <v>26</v>
      </c>
      <c r="D3">
        <v>63</v>
      </c>
      <c r="E3">
        <v>37</v>
      </c>
      <c r="F3">
        <v>49</v>
      </c>
      <c r="G3">
        <v>84</v>
      </c>
      <c r="H3">
        <v>1.48</v>
      </c>
      <c r="I3">
        <v>1.33</v>
      </c>
      <c r="J3" s="13">
        <v>0.66</v>
      </c>
    </row>
    <row r="4" spans="1:10">
      <c r="A4" t="s">
        <v>51</v>
      </c>
      <c r="B4">
        <v>17</v>
      </c>
      <c r="C4">
        <v>35</v>
      </c>
      <c r="D4">
        <v>29</v>
      </c>
      <c r="E4">
        <v>56</v>
      </c>
      <c r="F4">
        <v>40</v>
      </c>
      <c r="G4">
        <v>55</v>
      </c>
      <c r="H4">
        <v>1.14</v>
      </c>
      <c r="I4">
        <v>0.98</v>
      </c>
      <c r="J4" s="13">
        <v>0.83</v>
      </c>
    </row>
    <row r="5" spans="1:10">
      <c r="A5" t="s">
        <v>52</v>
      </c>
      <c r="B5">
        <v>32</v>
      </c>
      <c r="C5">
        <v>39</v>
      </c>
      <c r="D5">
        <v>54</v>
      </c>
      <c r="E5">
        <v>61</v>
      </c>
      <c r="F5">
        <v>52</v>
      </c>
      <c r="G5">
        <v>83</v>
      </c>
      <c r="H5">
        <v>1.33</v>
      </c>
      <c r="I5">
        <v>1.36</v>
      </c>
      <c r="J5" s="13">
        <v>0.83</v>
      </c>
    </row>
    <row r="6" spans="1:10">
      <c r="A6" t="s">
        <v>53</v>
      </c>
      <c r="B6">
        <v>32</v>
      </c>
      <c r="C6">
        <v>45</v>
      </c>
      <c r="D6">
        <v>50</v>
      </c>
      <c r="E6">
        <v>74</v>
      </c>
      <c r="F6">
        <v>60</v>
      </c>
      <c r="G6">
        <v>93</v>
      </c>
      <c r="H6">
        <v>1.33</v>
      </c>
      <c r="I6">
        <v>1.26</v>
      </c>
      <c r="J6" s="13">
        <v>0.83</v>
      </c>
    </row>
    <row r="7" spans="1:10">
      <c r="A7" t="s">
        <v>54</v>
      </c>
      <c r="B7">
        <v>58</v>
      </c>
      <c r="C7">
        <v>31</v>
      </c>
      <c r="D7">
        <v>100</v>
      </c>
      <c r="E7">
        <v>61</v>
      </c>
      <c r="F7">
        <v>80</v>
      </c>
      <c r="G7">
        <v>143</v>
      </c>
      <c r="H7">
        <v>1.38</v>
      </c>
      <c r="I7">
        <v>1.43</v>
      </c>
      <c r="J7" s="13">
        <v>0.93</v>
      </c>
    </row>
    <row r="8" spans="1:10">
      <c r="A8" t="s">
        <v>55</v>
      </c>
      <c r="B8">
        <v>70</v>
      </c>
      <c r="C8">
        <v>33</v>
      </c>
      <c r="D8">
        <v>140</v>
      </c>
      <c r="E8">
        <v>64</v>
      </c>
      <c r="F8">
        <v>76</v>
      </c>
      <c r="G8">
        <v>95</v>
      </c>
      <c r="H8">
        <v>1.09</v>
      </c>
      <c r="I8">
        <v>0.68</v>
      </c>
      <c r="J8" s="13">
        <v>0.86</v>
      </c>
    </row>
    <row r="9" spans="1:10">
      <c r="A9" t="s">
        <v>56</v>
      </c>
      <c r="B9">
        <v>28</v>
      </c>
      <c r="C9">
        <v>35</v>
      </c>
      <c r="D9">
        <v>47</v>
      </c>
      <c r="E9">
        <v>63</v>
      </c>
      <c r="F9">
        <v>51</v>
      </c>
      <c r="G9">
        <v>94</v>
      </c>
      <c r="H9">
        <v>1.46</v>
      </c>
      <c r="I9">
        <v>1.49</v>
      </c>
      <c r="J9" s="13">
        <v>0.83</v>
      </c>
    </row>
    <row r="10" spans="1:10">
      <c r="A10" t="s">
        <v>57</v>
      </c>
      <c r="B10">
        <v>68</v>
      </c>
      <c r="C10">
        <v>41</v>
      </c>
      <c r="D10">
        <v>132</v>
      </c>
      <c r="E10">
        <v>73</v>
      </c>
      <c r="F10">
        <v>80</v>
      </c>
      <c r="G10">
        <v>154</v>
      </c>
      <c r="H10">
        <v>1.18</v>
      </c>
      <c r="I10">
        <v>1.17</v>
      </c>
      <c r="J10" s="13">
        <v>0.86</v>
      </c>
    </row>
    <row r="11" spans="1:10">
      <c r="A11" t="s">
        <v>58</v>
      </c>
      <c r="B11">
        <v>45</v>
      </c>
      <c r="C11">
        <v>32</v>
      </c>
      <c r="D11">
        <v>79</v>
      </c>
      <c r="E11">
        <v>50</v>
      </c>
      <c r="F11">
        <v>60</v>
      </c>
      <c r="G11">
        <v>94</v>
      </c>
      <c r="H11">
        <v>1.33</v>
      </c>
      <c r="I11">
        <v>1.19</v>
      </c>
      <c r="J11" s="13">
        <v>0.93</v>
      </c>
    </row>
    <row r="12" spans="1:10">
      <c r="A12" t="s">
        <v>59</v>
      </c>
      <c r="B12">
        <v>22</v>
      </c>
      <c r="C12">
        <v>22</v>
      </c>
      <c r="D12">
        <v>37</v>
      </c>
      <c r="E12">
        <v>45</v>
      </c>
      <c r="F12">
        <v>39</v>
      </c>
      <c r="G12">
        <v>74</v>
      </c>
      <c r="H12">
        <v>1.77</v>
      </c>
      <c r="I12">
        <v>1.64</v>
      </c>
      <c r="J12" s="13">
        <v>0.79</v>
      </c>
    </row>
    <row r="13" spans="1:10">
      <c r="A13" t="s">
        <v>60</v>
      </c>
      <c r="B13">
        <v>37</v>
      </c>
      <c r="C13">
        <v>38</v>
      </c>
      <c r="D13">
        <v>127</v>
      </c>
      <c r="E13">
        <v>94</v>
      </c>
      <c r="F13">
        <v>64</v>
      </c>
      <c r="G13">
        <v>111</v>
      </c>
      <c r="H13">
        <v>1.68</v>
      </c>
      <c r="I13">
        <v>0.87</v>
      </c>
      <c r="J13" s="13">
        <v>0.86</v>
      </c>
    </row>
    <row r="14" spans="1:10">
      <c r="A14" t="s">
        <v>61</v>
      </c>
      <c r="B14">
        <v>21</v>
      </c>
      <c r="C14">
        <v>47</v>
      </c>
      <c r="D14">
        <v>28</v>
      </c>
      <c r="E14">
        <v>103</v>
      </c>
      <c r="F14">
        <v>57</v>
      </c>
      <c r="G14">
        <v>115</v>
      </c>
      <c r="H14">
        <v>1.21</v>
      </c>
      <c r="I14">
        <v>1.12</v>
      </c>
      <c r="J14" s="13">
        <v>0.59</v>
      </c>
    </row>
    <row r="15" spans="1:10">
      <c r="A15" t="s">
        <v>62</v>
      </c>
      <c r="B15">
        <v>59</v>
      </c>
      <c r="C15">
        <v>49</v>
      </c>
      <c r="D15">
        <v>150</v>
      </c>
      <c r="E15">
        <v>82</v>
      </c>
      <c r="F15">
        <v>88</v>
      </c>
      <c r="G15">
        <v>165</v>
      </c>
      <c r="H15">
        <v>1.49</v>
      </c>
      <c r="I15">
        <v>1.1</v>
      </c>
      <c r="J15" s="13">
        <v>0.93</v>
      </c>
    </row>
    <row r="16" spans="1:10">
      <c r="A16" t="s">
        <v>63</v>
      </c>
      <c r="B16">
        <v>47</v>
      </c>
      <c r="C16">
        <v>26</v>
      </c>
      <c r="D16">
        <v>68</v>
      </c>
      <c r="E16">
        <v>33</v>
      </c>
      <c r="F16">
        <v>56</v>
      </c>
      <c r="G16">
        <v>76</v>
      </c>
      <c r="H16">
        <v>1.19</v>
      </c>
      <c r="I16">
        <v>1.12</v>
      </c>
      <c r="J16" s="13">
        <v>0.79</v>
      </c>
    </row>
    <row r="17" spans="1:10">
      <c r="A17" t="s">
        <v>64</v>
      </c>
      <c r="B17">
        <v>53</v>
      </c>
      <c r="C17">
        <v>72</v>
      </c>
      <c r="D17">
        <v>131</v>
      </c>
      <c r="E17">
        <v>109</v>
      </c>
      <c r="F17">
        <v>93</v>
      </c>
      <c r="G17">
        <v>127</v>
      </c>
      <c r="H17">
        <v>1.29</v>
      </c>
      <c r="I17">
        <v>0.97</v>
      </c>
      <c r="J17" s="13">
        <v>0.9</v>
      </c>
    </row>
    <row r="18" spans="1:10">
      <c r="A18" t="s">
        <v>65</v>
      </c>
      <c r="B18">
        <v>36</v>
      </c>
      <c r="C18">
        <v>21</v>
      </c>
      <c r="D18">
        <v>73</v>
      </c>
      <c r="E18">
        <v>30</v>
      </c>
      <c r="F18">
        <v>50</v>
      </c>
      <c r="G18">
        <v>76</v>
      </c>
      <c r="H18">
        <v>1.39</v>
      </c>
      <c r="I18">
        <v>1.04</v>
      </c>
      <c r="J18" s="13">
        <v>0.76</v>
      </c>
    </row>
    <row r="19" spans="1:10">
      <c r="A19" t="s">
        <v>66</v>
      </c>
      <c r="B19">
        <v>64</v>
      </c>
      <c r="C19">
        <v>33</v>
      </c>
      <c r="D19">
        <v>99</v>
      </c>
      <c r="E19">
        <v>81</v>
      </c>
      <c r="F19">
        <v>81</v>
      </c>
      <c r="G19">
        <v>112</v>
      </c>
      <c r="H19">
        <v>1.27</v>
      </c>
      <c r="I19">
        <v>1.13</v>
      </c>
      <c r="J19" s="13">
        <v>0.86</v>
      </c>
    </row>
    <row r="20" spans="1:10">
      <c r="A20" t="s">
        <v>67</v>
      </c>
      <c r="B20">
        <v>45</v>
      </c>
      <c r="C20">
        <v>36</v>
      </c>
      <c r="D20">
        <v>73</v>
      </c>
      <c r="E20">
        <v>54</v>
      </c>
      <c r="F20">
        <v>60</v>
      </c>
      <c r="G20">
        <v>89</v>
      </c>
      <c r="H20">
        <v>1.33</v>
      </c>
      <c r="I20">
        <v>1.22</v>
      </c>
      <c r="J20" s="13">
        <v>0.83</v>
      </c>
    </row>
    <row r="21" spans="1:10">
      <c r="A21" t="s">
        <v>68</v>
      </c>
      <c r="B21">
        <v>40</v>
      </c>
      <c r="C21">
        <v>28</v>
      </c>
      <c r="D21">
        <v>63</v>
      </c>
      <c r="E21">
        <v>38</v>
      </c>
      <c r="F21">
        <v>56</v>
      </c>
      <c r="G21">
        <v>83</v>
      </c>
      <c r="H21">
        <v>1.4</v>
      </c>
      <c r="I21">
        <v>1.32</v>
      </c>
      <c r="J21" s="13">
        <v>0.79</v>
      </c>
    </row>
    <row r="22" spans="1:10">
      <c r="A22" t="s">
        <v>69</v>
      </c>
      <c r="B22">
        <v>31</v>
      </c>
      <c r="C22">
        <v>42</v>
      </c>
      <c r="D22">
        <v>39</v>
      </c>
      <c r="E22">
        <v>79</v>
      </c>
      <c r="F22">
        <v>49</v>
      </c>
      <c r="G22">
        <v>91</v>
      </c>
      <c r="H22">
        <v>1.17</v>
      </c>
      <c r="I22">
        <v>1.15</v>
      </c>
      <c r="J22" s="13">
        <v>0.72</v>
      </c>
    </row>
    <row r="23" spans="1:10">
      <c r="A23" t="s">
        <v>70</v>
      </c>
      <c r="B23">
        <v>25</v>
      </c>
      <c r="C23">
        <v>31</v>
      </c>
      <c r="D23">
        <v>33</v>
      </c>
      <c r="E23">
        <v>40</v>
      </c>
      <c r="F23">
        <v>40</v>
      </c>
      <c r="G23">
        <v>45</v>
      </c>
      <c r="H23">
        <v>1.29</v>
      </c>
      <c r="I23">
        <v>1.12</v>
      </c>
      <c r="J23" s="13">
        <v>0.72</v>
      </c>
    </row>
    <row r="24" spans="1:10">
      <c r="A24" t="s">
        <v>71</v>
      </c>
      <c r="B24">
        <v>37</v>
      </c>
      <c r="C24">
        <v>31</v>
      </c>
      <c r="D24">
        <v>65</v>
      </c>
      <c r="E24">
        <v>40</v>
      </c>
      <c r="F24">
        <v>33</v>
      </c>
      <c r="G24">
        <v>49</v>
      </c>
      <c r="H24">
        <v>0.89</v>
      </c>
      <c r="I24">
        <v>0.75</v>
      </c>
      <c r="J24" s="13">
        <v>0.72</v>
      </c>
    </row>
    <row r="25" spans="1:10">
      <c r="A25" t="s">
        <v>72</v>
      </c>
      <c r="B25">
        <v>42</v>
      </c>
      <c r="C25">
        <v>37</v>
      </c>
      <c r="D25">
        <v>52</v>
      </c>
      <c r="E25">
        <v>61</v>
      </c>
      <c r="F25">
        <v>63</v>
      </c>
      <c r="G25">
        <v>76</v>
      </c>
      <c r="H25">
        <v>1.5</v>
      </c>
      <c r="I25">
        <v>1.25</v>
      </c>
      <c r="J25" s="13">
        <v>0.72</v>
      </c>
    </row>
    <row r="26" spans="1:10">
      <c r="H26" s="12">
        <f>AVERAGE(H2:H25)</f>
        <v>1.34541666666667</v>
      </c>
      <c r="I26" s="12">
        <f>AVERAGE(I2:I25)</f>
        <v>1.18125</v>
      </c>
      <c r="J26" s="13">
        <f>AVERAGE(J2:J25)</f>
        <v>0.807083333333333</v>
      </c>
    </row>
    <row r="27" spans="1:10">
      <c r="J27" t="str">
        <f>TEXT(MIN(J2:J25),"0.00%")&amp;"-"&amp;TEXT(MAX(J2:J25),"0.00%")</f>
        <v>59.00%-93.00%</v>
      </c>
    </row>
  </sheetData>
  <mergeCells count="2">
    <mergeCell ref="B1:C1"/>
    <mergeCell ref="D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opLeftCell="A4" workbookViewId="0">
      <selection activeCell="J28" sqref="J28"/>
    </sheetView>
  </sheetViews>
  <sheetFormatPr defaultColWidth="9" defaultRowHeight="16.8"/>
  <cols>
    <col min="2" max="2" width="13.9296875" customWidth="1"/>
    <col min="3" max="3" width="13.7890625" customWidth="1"/>
  </cols>
  <sheetData>
    <row r="1" s="8" customFormat="1" ht="44" customHeight="1" spans="1:11">
      <c r="B1" s="11" t="s">
        <v>0</v>
      </c>
      <c r="C1" s="11"/>
      <c r="D1" s="11" t="s">
        <v>1</v>
      </c>
      <c r="E1" s="11"/>
      <c r="F1" s="11" t="s">
        <v>2</v>
      </c>
      <c r="G1" s="11"/>
      <c r="H1" s="11" t="s">
        <v>3</v>
      </c>
      <c r="I1" s="11"/>
      <c r="J1" s="11" t="s">
        <v>4</v>
      </c>
      <c r="K1" s="11"/>
    </row>
    <row r="2" spans="1:11">
      <c r="A2" t="s">
        <v>5</v>
      </c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>
      <c r="A3" t="s">
        <v>49</v>
      </c>
      <c r="B3">
        <v>73</v>
      </c>
      <c r="C3">
        <v>124</v>
      </c>
      <c r="D3">
        <v>72</v>
      </c>
      <c r="E3">
        <v>118</v>
      </c>
      <c r="F3">
        <v>70</v>
      </c>
      <c r="G3">
        <v>107</v>
      </c>
      <c r="H3">
        <v>63</v>
      </c>
      <c r="I3">
        <v>106</v>
      </c>
      <c r="J3" s="13">
        <v>0.86</v>
      </c>
      <c r="K3" s="13">
        <v>0.85</v>
      </c>
    </row>
    <row r="4" spans="1:11">
      <c r="A4" t="s">
        <v>50</v>
      </c>
      <c r="B4">
        <v>59</v>
      </c>
      <c r="C4">
        <v>100</v>
      </c>
      <c r="D4">
        <v>59</v>
      </c>
      <c r="E4">
        <v>93</v>
      </c>
      <c r="F4">
        <v>58</v>
      </c>
      <c r="G4">
        <v>89</v>
      </c>
      <c r="H4">
        <v>49</v>
      </c>
      <c r="I4">
        <v>84</v>
      </c>
      <c r="J4" s="13">
        <v>0.83</v>
      </c>
      <c r="K4" s="13">
        <v>0.84</v>
      </c>
    </row>
    <row r="5" spans="1:11">
      <c r="A5" t="s">
        <v>51</v>
      </c>
      <c r="B5">
        <v>52</v>
      </c>
      <c r="C5">
        <v>85</v>
      </c>
      <c r="D5">
        <v>52</v>
      </c>
      <c r="E5">
        <v>82</v>
      </c>
      <c r="F5">
        <v>50</v>
      </c>
      <c r="G5">
        <v>59</v>
      </c>
      <c r="H5">
        <v>40</v>
      </c>
      <c r="I5">
        <v>55</v>
      </c>
      <c r="J5" s="13">
        <v>0.77</v>
      </c>
      <c r="K5" s="13">
        <v>0.65</v>
      </c>
    </row>
    <row r="6" spans="1:11">
      <c r="A6" t="s">
        <v>52</v>
      </c>
      <c r="B6">
        <v>71</v>
      </c>
      <c r="C6">
        <v>115</v>
      </c>
      <c r="D6">
        <v>71</v>
      </c>
      <c r="E6">
        <v>113</v>
      </c>
      <c r="F6">
        <v>63</v>
      </c>
      <c r="G6">
        <v>89</v>
      </c>
      <c r="H6">
        <v>52</v>
      </c>
      <c r="I6">
        <v>83</v>
      </c>
      <c r="J6" s="13">
        <v>0.73</v>
      </c>
      <c r="K6" s="13">
        <v>0.72</v>
      </c>
    </row>
    <row r="7" spans="1:11">
      <c r="A7" t="s">
        <v>53</v>
      </c>
      <c r="B7">
        <v>77</v>
      </c>
      <c r="C7">
        <v>124</v>
      </c>
      <c r="D7">
        <v>77</v>
      </c>
      <c r="E7">
        <v>123</v>
      </c>
      <c r="F7">
        <v>74</v>
      </c>
      <c r="G7">
        <v>97</v>
      </c>
      <c r="H7">
        <v>60</v>
      </c>
      <c r="I7">
        <v>93</v>
      </c>
      <c r="J7" s="13">
        <v>0.78</v>
      </c>
      <c r="K7" s="13">
        <v>0.75</v>
      </c>
    </row>
    <row r="8" spans="1:11">
      <c r="A8" t="s">
        <v>54</v>
      </c>
      <c r="B8">
        <v>89</v>
      </c>
      <c r="C8">
        <v>161</v>
      </c>
      <c r="D8">
        <v>88</v>
      </c>
      <c r="E8">
        <v>157</v>
      </c>
      <c r="F8">
        <v>86</v>
      </c>
      <c r="G8">
        <v>149</v>
      </c>
      <c r="H8">
        <v>80</v>
      </c>
      <c r="I8">
        <v>143</v>
      </c>
      <c r="J8" s="13">
        <v>0.9</v>
      </c>
      <c r="K8" s="13">
        <v>0.89</v>
      </c>
    </row>
    <row r="9" spans="1:11">
      <c r="A9" t="s">
        <v>55</v>
      </c>
      <c r="B9">
        <v>103</v>
      </c>
      <c r="C9">
        <v>204</v>
      </c>
      <c r="D9">
        <v>103</v>
      </c>
      <c r="E9">
        <v>194</v>
      </c>
      <c r="F9">
        <v>86</v>
      </c>
      <c r="G9">
        <v>101</v>
      </c>
      <c r="H9">
        <v>76</v>
      </c>
      <c r="I9">
        <v>95</v>
      </c>
      <c r="J9" s="13">
        <v>0.74</v>
      </c>
      <c r="K9" s="13">
        <v>0.47</v>
      </c>
    </row>
    <row r="10" spans="1:11">
      <c r="A10" t="s">
        <v>56</v>
      </c>
      <c r="B10">
        <v>63</v>
      </c>
      <c r="C10">
        <v>110</v>
      </c>
      <c r="D10">
        <v>61</v>
      </c>
      <c r="E10">
        <v>106</v>
      </c>
      <c r="F10">
        <v>61</v>
      </c>
      <c r="G10">
        <v>96</v>
      </c>
      <c r="H10">
        <v>51</v>
      </c>
      <c r="I10">
        <v>94</v>
      </c>
      <c r="J10" s="13">
        <v>0.81</v>
      </c>
      <c r="K10" s="13">
        <v>0.85</v>
      </c>
    </row>
    <row r="11" spans="1:11">
      <c r="A11" t="s">
        <v>57</v>
      </c>
      <c r="B11">
        <v>109</v>
      </c>
      <c r="C11">
        <v>205</v>
      </c>
      <c r="D11">
        <v>106</v>
      </c>
      <c r="E11">
        <v>202</v>
      </c>
      <c r="F11">
        <v>101</v>
      </c>
      <c r="G11">
        <v>164</v>
      </c>
      <c r="H11">
        <v>80</v>
      </c>
      <c r="I11">
        <v>154</v>
      </c>
      <c r="J11" s="13">
        <v>0.73</v>
      </c>
      <c r="K11" s="13">
        <v>0.75</v>
      </c>
    </row>
    <row r="12" spans="1:11">
      <c r="A12" t="s">
        <v>58</v>
      </c>
      <c r="B12">
        <v>77</v>
      </c>
      <c r="C12">
        <v>129</v>
      </c>
      <c r="D12">
        <v>77</v>
      </c>
      <c r="E12">
        <v>127</v>
      </c>
      <c r="F12">
        <v>69</v>
      </c>
      <c r="G12">
        <v>94</v>
      </c>
      <c r="H12">
        <v>60</v>
      </c>
      <c r="I12">
        <v>94</v>
      </c>
      <c r="J12" s="13">
        <v>0.78</v>
      </c>
      <c r="K12" s="13">
        <v>0.73</v>
      </c>
    </row>
    <row r="13" spans="1:11">
      <c r="A13" t="s">
        <v>59</v>
      </c>
      <c r="B13">
        <v>44</v>
      </c>
      <c r="C13">
        <v>82</v>
      </c>
      <c r="D13">
        <v>43</v>
      </c>
      <c r="E13">
        <v>82</v>
      </c>
      <c r="F13">
        <v>43</v>
      </c>
      <c r="G13">
        <v>77</v>
      </c>
      <c r="H13">
        <v>39</v>
      </c>
      <c r="I13">
        <v>74</v>
      </c>
      <c r="J13" s="13">
        <v>0.89</v>
      </c>
      <c r="K13" s="13">
        <v>0.9</v>
      </c>
    </row>
    <row r="14" spans="1:11">
      <c r="A14" t="s">
        <v>60</v>
      </c>
      <c r="B14">
        <v>75</v>
      </c>
      <c r="C14">
        <v>221</v>
      </c>
      <c r="D14">
        <v>75</v>
      </c>
      <c r="E14">
        <v>221</v>
      </c>
      <c r="F14">
        <v>70</v>
      </c>
      <c r="G14">
        <v>117</v>
      </c>
      <c r="H14">
        <v>64</v>
      </c>
      <c r="I14">
        <v>111</v>
      </c>
      <c r="J14" s="13">
        <v>0.85</v>
      </c>
      <c r="K14" s="13">
        <v>0.5</v>
      </c>
    </row>
    <row r="15" spans="1:11">
      <c r="A15" t="s">
        <v>61</v>
      </c>
      <c r="B15">
        <v>68</v>
      </c>
      <c r="C15">
        <v>131</v>
      </c>
      <c r="D15">
        <v>68</v>
      </c>
      <c r="E15">
        <v>131</v>
      </c>
      <c r="F15">
        <v>67</v>
      </c>
      <c r="G15">
        <v>122</v>
      </c>
      <c r="H15">
        <v>57</v>
      </c>
      <c r="I15">
        <v>115</v>
      </c>
      <c r="J15" s="13">
        <v>0.84</v>
      </c>
      <c r="K15" s="13">
        <v>0.88</v>
      </c>
    </row>
    <row r="16" spans="1:11">
      <c r="A16" t="s">
        <v>62</v>
      </c>
      <c r="B16">
        <v>108</v>
      </c>
      <c r="C16">
        <v>232</v>
      </c>
      <c r="D16">
        <v>108</v>
      </c>
      <c r="E16">
        <v>226</v>
      </c>
      <c r="F16">
        <v>99</v>
      </c>
      <c r="G16">
        <v>166</v>
      </c>
      <c r="H16">
        <v>88</v>
      </c>
      <c r="I16">
        <v>165</v>
      </c>
      <c r="J16" s="13">
        <v>0.81</v>
      </c>
      <c r="K16" s="13">
        <v>0.71</v>
      </c>
    </row>
    <row r="17" spans="1:12">
      <c r="A17" t="s">
        <v>63</v>
      </c>
      <c r="B17">
        <v>73</v>
      </c>
      <c r="C17">
        <v>101</v>
      </c>
      <c r="D17">
        <v>69</v>
      </c>
      <c r="E17">
        <v>97</v>
      </c>
      <c r="F17">
        <v>64</v>
      </c>
      <c r="G17">
        <v>84</v>
      </c>
      <c r="H17">
        <v>56</v>
      </c>
      <c r="I17">
        <v>76</v>
      </c>
      <c r="J17" s="13">
        <v>0.77</v>
      </c>
      <c r="K17" s="13">
        <v>0.75</v>
      </c>
    </row>
    <row r="18" spans="1:12">
      <c r="A18" t="s">
        <v>64</v>
      </c>
      <c r="B18">
        <v>125</v>
      </c>
      <c r="C18">
        <v>240</v>
      </c>
      <c r="D18">
        <v>123</v>
      </c>
      <c r="E18">
        <v>240</v>
      </c>
      <c r="F18">
        <v>103</v>
      </c>
      <c r="G18">
        <v>135</v>
      </c>
      <c r="H18">
        <v>93</v>
      </c>
      <c r="I18">
        <v>127</v>
      </c>
      <c r="J18" s="13">
        <v>0.74</v>
      </c>
      <c r="K18" s="13">
        <v>0.53</v>
      </c>
    </row>
    <row r="19" spans="1:12">
      <c r="A19" t="s">
        <v>65</v>
      </c>
      <c r="B19">
        <v>57</v>
      </c>
      <c r="C19">
        <v>103</v>
      </c>
      <c r="D19">
        <v>56</v>
      </c>
      <c r="E19">
        <v>103</v>
      </c>
      <c r="F19">
        <v>55</v>
      </c>
      <c r="G19">
        <v>77</v>
      </c>
      <c r="H19">
        <v>50</v>
      </c>
      <c r="I19">
        <v>76</v>
      </c>
      <c r="J19" s="13">
        <v>0.88</v>
      </c>
      <c r="K19" s="13">
        <v>0.74</v>
      </c>
    </row>
    <row r="20" spans="1:12">
      <c r="A20" t="s">
        <v>66</v>
      </c>
      <c r="B20">
        <v>97</v>
      </c>
      <c r="C20">
        <v>180</v>
      </c>
      <c r="D20">
        <v>97</v>
      </c>
      <c r="E20">
        <v>176</v>
      </c>
      <c r="F20">
        <v>93</v>
      </c>
      <c r="G20">
        <v>116</v>
      </c>
      <c r="H20">
        <v>81</v>
      </c>
      <c r="I20">
        <v>112</v>
      </c>
      <c r="J20" s="13">
        <v>0.84</v>
      </c>
      <c r="K20" s="13">
        <v>0.62</v>
      </c>
    </row>
    <row r="21" spans="1:12">
      <c r="A21" t="s">
        <v>67</v>
      </c>
      <c r="B21">
        <v>81</v>
      </c>
      <c r="C21">
        <v>127</v>
      </c>
      <c r="D21">
        <v>81</v>
      </c>
      <c r="E21">
        <v>126</v>
      </c>
      <c r="F21">
        <v>73</v>
      </c>
      <c r="G21">
        <v>104</v>
      </c>
      <c r="H21">
        <v>60</v>
      </c>
      <c r="I21">
        <v>89</v>
      </c>
      <c r="J21" s="13">
        <v>0.74</v>
      </c>
      <c r="K21" s="13">
        <v>0.7</v>
      </c>
    </row>
    <row r="22" spans="1:12">
      <c r="A22" t="s">
        <v>68</v>
      </c>
      <c r="B22">
        <v>68</v>
      </c>
      <c r="C22">
        <v>101</v>
      </c>
      <c r="D22">
        <v>68</v>
      </c>
      <c r="E22">
        <v>96</v>
      </c>
      <c r="F22">
        <v>64</v>
      </c>
      <c r="G22">
        <v>83</v>
      </c>
      <c r="H22">
        <v>56</v>
      </c>
      <c r="I22">
        <v>83</v>
      </c>
      <c r="J22" s="13">
        <v>0.82</v>
      </c>
      <c r="K22" s="13">
        <v>0.82</v>
      </c>
    </row>
    <row r="23" spans="1:12">
      <c r="A23" t="s">
        <v>69</v>
      </c>
      <c r="B23">
        <v>73</v>
      </c>
      <c r="C23">
        <v>118</v>
      </c>
      <c r="D23">
        <v>73</v>
      </c>
      <c r="E23">
        <v>117</v>
      </c>
      <c r="F23">
        <v>66</v>
      </c>
      <c r="G23">
        <v>94</v>
      </c>
      <c r="H23">
        <v>49</v>
      </c>
      <c r="I23">
        <v>91</v>
      </c>
      <c r="J23" s="13">
        <v>0.67</v>
      </c>
      <c r="K23" s="13">
        <v>0.77</v>
      </c>
    </row>
    <row r="24" spans="1:12">
      <c r="A24" t="s">
        <v>70</v>
      </c>
      <c r="B24">
        <v>56</v>
      </c>
      <c r="C24">
        <v>73</v>
      </c>
      <c r="D24">
        <v>54</v>
      </c>
      <c r="E24">
        <v>70</v>
      </c>
      <c r="F24">
        <v>45</v>
      </c>
      <c r="G24">
        <v>49</v>
      </c>
      <c r="H24">
        <v>40</v>
      </c>
      <c r="I24">
        <v>45</v>
      </c>
      <c r="J24" s="13">
        <v>0.71</v>
      </c>
      <c r="K24" s="13">
        <v>0.62</v>
      </c>
    </row>
    <row r="25" spans="1:12">
      <c r="A25" t="s">
        <v>71</v>
      </c>
      <c r="B25">
        <v>68</v>
      </c>
      <c r="C25">
        <v>105</v>
      </c>
      <c r="D25">
        <v>65</v>
      </c>
      <c r="E25">
        <v>103</v>
      </c>
      <c r="F25">
        <v>35</v>
      </c>
      <c r="G25">
        <v>51</v>
      </c>
      <c r="H25">
        <v>33</v>
      </c>
      <c r="I25">
        <v>49</v>
      </c>
      <c r="J25" s="13">
        <v>0.49</v>
      </c>
      <c r="K25" s="13">
        <v>0.47</v>
      </c>
    </row>
    <row r="26" spans="1:12">
      <c r="A26" t="s">
        <v>72</v>
      </c>
      <c r="B26">
        <v>79</v>
      </c>
      <c r="C26">
        <v>113</v>
      </c>
      <c r="D26">
        <v>79</v>
      </c>
      <c r="E26">
        <v>111</v>
      </c>
      <c r="F26">
        <v>72</v>
      </c>
      <c r="G26">
        <v>84</v>
      </c>
      <c r="H26">
        <v>63</v>
      </c>
      <c r="I26">
        <v>76</v>
      </c>
      <c r="J26" s="13">
        <v>0.8</v>
      </c>
      <c r="K26" s="13">
        <v>0.67</v>
      </c>
    </row>
    <row r="27" spans="1:12">
      <c r="A27" t="s">
        <v>73</v>
      </c>
      <c r="B27">
        <f>SUM(B3:B26)</f>
        <v>1845</v>
      </c>
      <c r="C27">
        <f>SUM(C3:C26)</f>
        <v>3284</v>
      </c>
      <c r="H27">
        <f>SUM(H3:H26)</f>
        <v>1440</v>
      </c>
      <c r="I27">
        <f>SUM(I3:I26)</f>
        <v>2290</v>
      </c>
      <c r="J27" s="13">
        <f>H27/B27</f>
        <v>0.780487804878049</v>
      </c>
      <c r="K27" s="13">
        <f>I27/C27</f>
        <v>0.697320341047503</v>
      </c>
      <c r="L27" t="s">
        <v>74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M16" sqref="M16"/>
    </sheetView>
  </sheetViews>
  <sheetFormatPr defaultColWidth="9" defaultRowHeight="16.8"/>
  <cols>
    <col min="3" max="3" width="11.0546875" customWidth="1"/>
    <col min="6" max="6" width="9.6328125" customWidth="1"/>
    <col min="7" max="7" width="10.40625" customWidth="1"/>
    <col min="8" max="9" width="9.53125" customWidth="1"/>
    <col min="10" max="10" width="12.6875"/>
  </cols>
  <sheetData>
    <row r="1" ht="56" customHeight="1" spans="1:10">
      <c r="A1" s="8" t="s">
        <v>8</v>
      </c>
      <c r="B1" s="11" t="s">
        <v>47</v>
      </c>
      <c r="C1" s="11"/>
      <c r="D1" s="11" t="s">
        <v>48</v>
      </c>
      <c r="E1" s="11"/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0">
      <c r="A2" t="s">
        <v>75</v>
      </c>
      <c r="B2">
        <v>34</v>
      </c>
      <c r="C2">
        <v>36</v>
      </c>
      <c r="D2">
        <v>62</v>
      </c>
      <c r="E2">
        <v>54</v>
      </c>
      <c r="F2">
        <v>56</v>
      </c>
      <c r="G2">
        <v>97</v>
      </c>
      <c r="H2" s="12">
        <v>1.56</v>
      </c>
      <c r="I2" s="12">
        <v>1.56</v>
      </c>
      <c r="J2" s="13">
        <v>0.86</v>
      </c>
    </row>
    <row r="3" spans="1:10">
      <c r="A3" t="s">
        <v>76</v>
      </c>
      <c r="B3">
        <v>39</v>
      </c>
      <c r="C3">
        <v>35</v>
      </c>
      <c r="D3">
        <v>60</v>
      </c>
      <c r="E3">
        <v>55</v>
      </c>
      <c r="F3">
        <v>54</v>
      </c>
      <c r="G3">
        <v>85</v>
      </c>
      <c r="H3" s="12">
        <v>1.38</v>
      </c>
      <c r="I3" s="12">
        <v>1.42</v>
      </c>
      <c r="J3" s="13">
        <v>0.79</v>
      </c>
    </row>
    <row r="4" spans="1:10">
      <c r="A4" t="s">
        <v>77</v>
      </c>
      <c r="B4">
        <v>28</v>
      </c>
      <c r="C4">
        <v>37</v>
      </c>
      <c r="D4">
        <v>37</v>
      </c>
      <c r="E4">
        <v>61</v>
      </c>
      <c r="F4">
        <v>59</v>
      </c>
      <c r="G4">
        <v>80</v>
      </c>
      <c r="H4" s="12">
        <v>1.59</v>
      </c>
      <c r="I4" s="12">
        <v>1.31</v>
      </c>
      <c r="J4" s="13">
        <v>0.76</v>
      </c>
    </row>
    <row r="5" spans="1:10">
      <c r="A5" t="s">
        <v>78</v>
      </c>
      <c r="B5">
        <v>27</v>
      </c>
      <c r="C5">
        <v>34</v>
      </c>
      <c r="D5">
        <v>41</v>
      </c>
      <c r="E5">
        <v>64</v>
      </c>
      <c r="F5">
        <v>52</v>
      </c>
      <c r="G5">
        <v>79</v>
      </c>
      <c r="H5" s="12">
        <v>1.53</v>
      </c>
      <c r="I5" s="12">
        <v>1.23</v>
      </c>
      <c r="J5" s="13">
        <v>0.72</v>
      </c>
    </row>
    <row r="6" spans="1:10">
      <c r="A6" t="s">
        <v>79</v>
      </c>
      <c r="B6">
        <v>50</v>
      </c>
      <c r="C6">
        <v>45</v>
      </c>
      <c r="D6">
        <v>73</v>
      </c>
      <c r="E6">
        <v>64</v>
      </c>
      <c r="F6">
        <v>76</v>
      </c>
      <c r="G6">
        <v>108</v>
      </c>
      <c r="H6" s="12">
        <v>1.52</v>
      </c>
      <c r="I6" s="12">
        <v>1.48</v>
      </c>
      <c r="J6" s="13">
        <v>0.93</v>
      </c>
    </row>
    <row r="7" spans="1:10">
      <c r="A7" t="s">
        <v>80</v>
      </c>
      <c r="B7">
        <v>14</v>
      </c>
      <c r="C7">
        <v>35</v>
      </c>
      <c r="D7">
        <v>25</v>
      </c>
      <c r="E7">
        <v>54</v>
      </c>
      <c r="F7">
        <v>40</v>
      </c>
      <c r="G7">
        <v>55</v>
      </c>
      <c r="H7" s="12">
        <v>1.14</v>
      </c>
      <c r="I7" s="12">
        <v>1.02</v>
      </c>
      <c r="J7" s="13">
        <v>0.76</v>
      </c>
    </row>
    <row r="8" spans="1:10">
      <c r="A8" t="s">
        <v>81</v>
      </c>
      <c r="B8">
        <v>48</v>
      </c>
      <c r="C8">
        <v>39</v>
      </c>
      <c r="D8">
        <v>85</v>
      </c>
      <c r="E8">
        <v>67</v>
      </c>
      <c r="F8">
        <v>64</v>
      </c>
      <c r="G8">
        <v>126</v>
      </c>
      <c r="H8" s="12">
        <v>1.33</v>
      </c>
      <c r="I8" s="12">
        <v>1.48</v>
      </c>
      <c r="J8" s="13">
        <v>0.97</v>
      </c>
    </row>
    <row r="9" spans="1:10">
      <c r="A9" t="s">
        <v>82</v>
      </c>
      <c r="B9">
        <v>63</v>
      </c>
      <c r="C9">
        <v>65</v>
      </c>
      <c r="D9">
        <v>111</v>
      </c>
      <c r="E9">
        <v>147</v>
      </c>
      <c r="F9">
        <v>106</v>
      </c>
      <c r="G9">
        <v>180</v>
      </c>
      <c r="H9" s="12">
        <v>1.63</v>
      </c>
      <c r="I9" s="12">
        <v>1.22</v>
      </c>
      <c r="J9" s="13">
        <v>0.86</v>
      </c>
    </row>
    <row r="10" spans="1:10">
      <c r="A10" t="s">
        <v>83</v>
      </c>
      <c r="B10">
        <v>51</v>
      </c>
      <c r="C10">
        <v>25</v>
      </c>
      <c r="D10">
        <v>138</v>
      </c>
      <c r="E10">
        <v>58</v>
      </c>
      <c r="F10">
        <v>67</v>
      </c>
      <c r="G10">
        <v>162</v>
      </c>
      <c r="H10" s="12">
        <v>1.31</v>
      </c>
      <c r="I10" s="12">
        <v>1.17</v>
      </c>
      <c r="J10" s="13">
        <v>0.97</v>
      </c>
    </row>
    <row r="11" spans="1:10">
      <c r="A11" t="s">
        <v>84</v>
      </c>
      <c r="B11">
        <v>15</v>
      </c>
      <c r="C11">
        <v>32</v>
      </c>
      <c r="D11">
        <v>23</v>
      </c>
      <c r="E11">
        <v>44</v>
      </c>
      <c r="F11">
        <v>37</v>
      </c>
      <c r="G11">
        <v>48</v>
      </c>
      <c r="H11" s="12">
        <v>1.16</v>
      </c>
      <c r="I11" s="12">
        <v>1.09</v>
      </c>
      <c r="J11" s="13">
        <v>0.76</v>
      </c>
    </row>
    <row r="12" spans="1:10">
      <c r="A12" t="s">
        <v>85</v>
      </c>
      <c r="B12">
        <v>55</v>
      </c>
      <c r="C12">
        <v>39</v>
      </c>
      <c r="D12">
        <v>109</v>
      </c>
      <c r="E12">
        <v>73</v>
      </c>
      <c r="F12">
        <v>77</v>
      </c>
      <c r="G12">
        <v>87</v>
      </c>
      <c r="H12" s="12">
        <v>1.4</v>
      </c>
      <c r="I12" s="12">
        <v>0.8</v>
      </c>
      <c r="J12" s="13">
        <v>0.72</v>
      </c>
    </row>
    <row r="13" spans="1:10">
      <c r="A13" t="s">
        <v>86</v>
      </c>
      <c r="B13">
        <v>42</v>
      </c>
      <c r="C13">
        <v>30</v>
      </c>
      <c r="D13">
        <v>118</v>
      </c>
      <c r="E13">
        <v>62</v>
      </c>
      <c r="F13">
        <v>57</v>
      </c>
      <c r="G13">
        <v>105</v>
      </c>
      <c r="H13" s="12">
        <v>1.36</v>
      </c>
      <c r="I13" s="12">
        <v>0.89</v>
      </c>
      <c r="J13" s="13">
        <v>0.79</v>
      </c>
    </row>
    <row r="14" spans="1:10">
      <c r="A14" t="s">
        <v>87</v>
      </c>
      <c r="B14">
        <v>20</v>
      </c>
      <c r="C14">
        <v>21</v>
      </c>
      <c r="D14">
        <v>23</v>
      </c>
      <c r="E14">
        <v>31</v>
      </c>
      <c r="F14">
        <v>32</v>
      </c>
      <c r="G14">
        <v>30</v>
      </c>
      <c r="H14" s="12">
        <v>1.52</v>
      </c>
      <c r="I14" s="12">
        <v>0.97</v>
      </c>
      <c r="J14" s="13">
        <v>0.62</v>
      </c>
    </row>
    <row r="15" spans="1:10">
      <c r="A15" t="s">
        <v>88</v>
      </c>
      <c r="B15">
        <v>25</v>
      </c>
      <c r="C15">
        <v>16</v>
      </c>
      <c r="D15">
        <v>50</v>
      </c>
      <c r="E15">
        <v>19</v>
      </c>
      <c r="F15">
        <v>33</v>
      </c>
      <c r="G15">
        <v>41</v>
      </c>
      <c r="H15" s="12">
        <v>1.32</v>
      </c>
      <c r="I15" s="12">
        <v>0.82</v>
      </c>
      <c r="J15" s="13">
        <v>0.62</v>
      </c>
    </row>
    <row r="16" spans="1:10">
      <c r="A16" t="s">
        <v>89</v>
      </c>
      <c r="B16">
        <v>36</v>
      </c>
      <c r="C16">
        <v>53</v>
      </c>
      <c r="D16">
        <v>73</v>
      </c>
      <c r="E16">
        <v>87</v>
      </c>
      <c r="F16">
        <v>71</v>
      </c>
      <c r="G16">
        <v>141</v>
      </c>
      <c r="H16" s="12">
        <v>1.34</v>
      </c>
      <c r="I16" s="12">
        <v>1.62</v>
      </c>
      <c r="J16" s="13">
        <v>0.76</v>
      </c>
    </row>
    <row r="17" spans="1:10">
      <c r="A17" t="s">
        <v>90</v>
      </c>
      <c r="B17">
        <v>27</v>
      </c>
      <c r="C17">
        <v>50</v>
      </c>
      <c r="D17">
        <v>37</v>
      </c>
      <c r="E17">
        <v>90</v>
      </c>
      <c r="F17">
        <v>59</v>
      </c>
      <c r="G17">
        <v>86</v>
      </c>
      <c r="H17" s="12">
        <v>1.18</v>
      </c>
      <c r="I17" s="12">
        <v>0.96</v>
      </c>
      <c r="J17" s="13">
        <v>0.66</v>
      </c>
    </row>
    <row r="18" spans="1:10">
      <c r="A18" t="s">
        <v>91</v>
      </c>
      <c r="B18">
        <v>26</v>
      </c>
      <c r="C18">
        <v>34</v>
      </c>
      <c r="D18">
        <v>30</v>
      </c>
      <c r="E18">
        <v>44</v>
      </c>
      <c r="F18">
        <v>51</v>
      </c>
      <c r="G18">
        <v>67</v>
      </c>
      <c r="H18" s="12">
        <v>1.5</v>
      </c>
      <c r="I18" s="12">
        <v>1.52</v>
      </c>
      <c r="J18" s="13">
        <v>0.76</v>
      </c>
    </row>
    <row r="19" spans="1:10">
      <c r="A19" t="s">
        <v>92</v>
      </c>
      <c r="B19">
        <v>38</v>
      </c>
      <c r="C19">
        <v>23</v>
      </c>
      <c r="D19">
        <v>53</v>
      </c>
      <c r="E19">
        <v>42</v>
      </c>
      <c r="F19">
        <v>49</v>
      </c>
      <c r="G19">
        <v>61</v>
      </c>
      <c r="H19" s="12">
        <v>1.29</v>
      </c>
      <c r="I19" s="12">
        <v>1.15</v>
      </c>
      <c r="J19" s="13">
        <v>0.72</v>
      </c>
    </row>
    <row r="20" spans="1:10">
      <c r="A20" t="s">
        <v>93</v>
      </c>
      <c r="B20">
        <v>16</v>
      </c>
      <c r="C20">
        <v>31</v>
      </c>
      <c r="D20">
        <v>17</v>
      </c>
      <c r="E20">
        <v>37</v>
      </c>
      <c r="F20">
        <v>33</v>
      </c>
      <c r="G20">
        <v>27</v>
      </c>
      <c r="H20" s="12">
        <v>1.06</v>
      </c>
      <c r="I20" s="12">
        <v>0.73</v>
      </c>
      <c r="J20" s="13">
        <v>0.66</v>
      </c>
    </row>
    <row r="21" spans="1:10">
      <c r="A21" t="s">
        <v>94</v>
      </c>
      <c r="B21">
        <v>40</v>
      </c>
      <c r="C21">
        <v>27</v>
      </c>
      <c r="D21">
        <v>37</v>
      </c>
      <c r="E21">
        <v>53</v>
      </c>
      <c r="F21">
        <v>50</v>
      </c>
      <c r="G21">
        <v>63</v>
      </c>
      <c r="H21" s="12">
        <v>1.25</v>
      </c>
      <c r="I21" s="12">
        <v>1.19</v>
      </c>
      <c r="J21" s="13">
        <v>0.69</v>
      </c>
    </row>
    <row r="22" spans="1:10">
      <c r="A22" t="s">
        <v>95</v>
      </c>
      <c r="B22">
        <v>32</v>
      </c>
      <c r="C22">
        <v>45</v>
      </c>
      <c r="D22">
        <v>66</v>
      </c>
      <c r="E22">
        <v>90</v>
      </c>
      <c r="F22">
        <v>60</v>
      </c>
      <c r="G22">
        <v>118</v>
      </c>
      <c r="H22" s="12">
        <v>1.33</v>
      </c>
      <c r="I22" s="12">
        <v>1.31</v>
      </c>
      <c r="J22" s="13">
        <v>0.83</v>
      </c>
    </row>
    <row r="23" spans="1:10">
      <c r="A23" t="s">
        <v>96</v>
      </c>
      <c r="B23">
        <v>22</v>
      </c>
      <c r="C23">
        <v>38</v>
      </c>
      <c r="D23">
        <v>33</v>
      </c>
      <c r="E23">
        <v>54</v>
      </c>
      <c r="F23">
        <v>49</v>
      </c>
      <c r="G23">
        <v>54</v>
      </c>
      <c r="H23" s="12">
        <v>1.29</v>
      </c>
      <c r="I23" s="12">
        <v>1</v>
      </c>
      <c r="J23" s="13">
        <v>0.59</v>
      </c>
    </row>
    <row r="24" spans="1:10">
      <c r="H24" s="12">
        <f>AVERAGE(H2:H23)</f>
        <v>1.36318181818182</v>
      </c>
      <c r="I24" s="12">
        <f>AVERAGE(I2:I23)</f>
        <v>1.17909090909091</v>
      </c>
      <c r="J24" s="13">
        <f>AVERAGE(J2:J23)</f>
        <v>0.763636363636364</v>
      </c>
    </row>
    <row r="25" spans="1:10">
      <c r="J25" t="str">
        <f>TEXT(MIN(J2:J23),"0.00%")&amp;"-"&amp;TEXT(MAX(J2:J23),"0.00%")</f>
        <v>59.00%-97.00%</v>
      </c>
    </row>
  </sheetData>
  <mergeCells count="2">
    <mergeCell ref="B1:C1"/>
    <mergeCell ref="D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M23" sqref="M23"/>
    </sheetView>
  </sheetViews>
  <sheetFormatPr defaultColWidth="9" defaultRowHeight="16.8"/>
  <cols>
    <col min="8" max="8" width="11.328125" customWidth="1"/>
    <col min="10" max="10" width="12.6875"/>
  </cols>
  <sheetData>
    <row r="1" spans="1:11">
      <c r="B1" s="14" t="s">
        <v>0</v>
      </c>
      <c r="C1" s="14"/>
      <c r="D1" s="14" t="s">
        <v>1</v>
      </c>
      <c r="E1" s="14"/>
      <c r="F1" s="14" t="s">
        <v>2</v>
      </c>
      <c r="G1" s="14"/>
      <c r="H1" s="14" t="s">
        <v>3</v>
      </c>
      <c r="I1" s="14"/>
      <c r="J1" s="14" t="s">
        <v>4</v>
      </c>
      <c r="K1" s="14"/>
    </row>
    <row r="2" spans="1:11">
      <c r="A2" t="s">
        <v>5</v>
      </c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>
      <c r="A3" t="s">
        <v>75</v>
      </c>
      <c r="B3">
        <v>70</v>
      </c>
      <c r="C3">
        <v>116</v>
      </c>
      <c r="D3">
        <v>70</v>
      </c>
      <c r="E3">
        <v>116</v>
      </c>
      <c r="F3">
        <v>65</v>
      </c>
      <c r="G3">
        <v>97</v>
      </c>
      <c r="H3">
        <v>56</v>
      </c>
      <c r="I3">
        <v>97</v>
      </c>
      <c r="J3" s="13">
        <v>0.8</v>
      </c>
      <c r="K3" s="13">
        <v>0.84</v>
      </c>
    </row>
    <row r="4" spans="1:11">
      <c r="A4" t="s">
        <v>76</v>
      </c>
      <c r="B4">
        <v>74</v>
      </c>
      <c r="C4">
        <v>115</v>
      </c>
      <c r="D4">
        <v>74</v>
      </c>
      <c r="E4">
        <v>115</v>
      </c>
      <c r="F4">
        <v>72</v>
      </c>
      <c r="G4">
        <v>98</v>
      </c>
      <c r="H4">
        <v>54</v>
      </c>
      <c r="I4">
        <v>85</v>
      </c>
      <c r="J4" s="13">
        <v>0.73</v>
      </c>
      <c r="K4" s="13">
        <v>0.74</v>
      </c>
    </row>
    <row r="5" spans="1:11">
      <c r="A5" t="s">
        <v>77</v>
      </c>
      <c r="B5">
        <v>65</v>
      </c>
      <c r="C5">
        <v>98</v>
      </c>
      <c r="D5">
        <v>65</v>
      </c>
      <c r="E5">
        <v>97</v>
      </c>
      <c r="F5">
        <v>64</v>
      </c>
      <c r="G5">
        <v>83</v>
      </c>
      <c r="H5">
        <v>59</v>
      </c>
      <c r="I5">
        <v>80</v>
      </c>
      <c r="J5" s="13">
        <v>0.91</v>
      </c>
      <c r="K5" s="13">
        <v>0.82</v>
      </c>
    </row>
    <row r="6" spans="1:11">
      <c r="A6" t="s">
        <v>78</v>
      </c>
      <c r="B6">
        <v>61</v>
      </c>
      <c r="C6">
        <v>105</v>
      </c>
      <c r="D6">
        <v>61</v>
      </c>
      <c r="E6">
        <v>105</v>
      </c>
      <c r="F6">
        <v>57</v>
      </c>
      <c r="G6">
        <v>79</v>
      </c>
      <c r="H6">
        <v>52</v>
      </c>
      <c r="I6">
        <v>79</v>
      </c>
      <c r="J6" s="13">
        <v>0.85</v>
      </c>
      <c r="K6" s="13">
        <v>0.75</v>
      </c>
    </row>
    <row r="7" spans="1:11">
      <c r="A7" t="s">
        <v>79</v>
      </c>
      <c r="B7">
        <v>95</v>
      </c>
      <c r="C7">
        <v>137</v>
      </c>
      <c r="D7">
        <v>95</v>
      </c>
      <c r="E7">
        <v>135</v>
      </c>
      <c r="F7">
        <v>91</v>
      </c>
      <c r="G7">
        <v>110</v>
      </c>
      <c r="H7">
        <v>76</v>
      </c>
      <c r="I7">
        <v>108</v>
      </c>
      <c r="J7" s="13">
        <v>0.8</v>
      </c>
      <c r="K7" s="13">
        <v>0.79</v>
      </c>
    </row>
    <row r="8" spans="1:11">
      <c r="A8" t="s">
        <v>80</v>
      </c>
      <c r="B8">
        <v>49</v>
      </c>
      <c r="C8">
        <v>79</v>
      </c>
      <c r="D8">
        <v>49</v>
      </c>
      <c r="E8">
        <v>78</v>
      </c>
      <c r="F8">
        <v>46</v>
      </c>
      <c r="G8">
        <v>57</v>
      </c>
      <c r="H8">
        <v>40</v>
      </c>
      <c r="I8">
        <v>55</v>
      </c>
      <c r="J8" s="13">
        <v>0.82</v>
      </c>
      <c r="K8" s="13">
        <v>0.7</v>
      </c>
    </row>
    <row r="9" spans="1:11">
      <c r="A9" t="s">
        <v>81</v>
      </c>
      <c r="B9">
        <v>87</v>
      </c>
      <c r="C9">
        <v>152</v>
      </c>
      <c r="D9">
        <v>87</v>
      </c>
      <c r="E9">
        <v>148</v>
      </c>
      <c r="F9">
        <v>82</v>
      </c>
      <c r="G9">
        <v>128</v>
      </c>
      <c r="H9">
        <v>64</v>
      </c>
      <c r="I9">
        <v>126</v>
      </c>
      <c r="J9" s="13">
        <v>0.74</v>
      </c>
      <c r="K9" s="13">
        <v>0.83</v>
      </c>
    </row>
    <row r="10" spans="1:11">
      <c r="A10" t="s">
        <v>82</v>
      </c>
      <c r="B10">
        <v>128</v>
      </c>
      <c r="C10">
        <v>258</v>
      </c>
      <c r="D10">
        <v>126</v>
      </c>
      <c r="E10">
        <v>231</v>
      </c>
      <c r="F10">
        <v>116</v>
      </c>
      <c r="G10">
        <v>181</v>
      </c>
      <c r="H10">
        <v>106</v>
      </c>
      <c r="I10">
        <v>180</v>
      </c>
      <c r="J10" s="13">
        <v>0.83</v>
      </c>
      <c r="K10" s="13">
        <v>0.7</v>
      </c>
    </row>
    <row r="11" spans="1:11">
      <c r="A11" t="s">
        <v>83</v>
      </c>
      <c r="B11">
        <v>76</v>
      </c>
      <c r="C11">
        <v>196</v>
      </c>
      <c r="D11">
        <v>76</v>
      </c>
      <c r="E11">
        <v>196</v>
      </c>
      <c r="F11">
        <v>76</v>
      </c>
      <c r="G11">
        <v>180</v>
      </c>
      <c r="H11">
        <v>67</v>
      </c>
      <c r="I11">
        <v>162</v>
      </c>
      <c r="J11" s="13">
        <v>0.88</v>
      </c>
      <c r="K11" s="13">
        <v>0.83</v>
      </c>
    </row>
    <row r="12" spans="1:11">
      <c r="A12" t="s">
        <v>84</v>
      </c>
      <c r="B12">
        <v>47</v>
      </c>
      <c r="C12">
        <v>67</v>
      </c>
      <c r="D12">
        <v>46</v>
      </c>
      <c r="E12">
        <v>66</v>
      </c>
      <c r="F12">
        <v>42</v>
      </c>
      <c r="G12">
        <v>49</v>
      </c>
      <c r="H12">
        <v>37</v>
      </c>
      <c r="I12">
        <v>48</v>
      </c>
      <c r="J12" s="13">
        <v>0.79</v>
      </c>
      <c r="K12" s="13">
        <v>0.72</v>
      </c>
    </row>
    <row r="13" spans="1:11">
      <c r="A13" t="s">
        <v>85</v>
      </c>
      <c r="B13">
        <v>94</v>
      </c>
      <c r="C13">
        <v>182</v>
      </c>
      <c r="D13">
        <v>92</v>
      </c>
      <c r="E13">
        <v>181</v>
      </c>
      <c r="F13">
        <v>88</v>
      </c>
      <c r="G13">
        <v>95</v>
      </c>
      <c r="H13">
        <v>77</v>
      </c>
      <c r="I13">
        <v>87</v>
      </c>
      <c r="J13" s="13">
        <v>0.82</v>
      </c>
      <c r="K13" s="13">
        <v>0.48</v>
      </c>
    </row>
    <row r="14" spans="1:11">
      <c r="A14" t="s">
        <v>86</v>
      </c>
      <c r="B14">
        <v>72</v>
      </c>
      <c r="C14">
        <v>180</v>
      </c>
      <c r="D14">
        <v>72</v>
      </c>
      <c r="E14">
        <v>171</v>
      </c>
      <c r="F14">
        <v>68</v>
      </c>
      <c r="G14">
        <v>138</v>
      </c>
      <c r="H14">
        <v>57</v>
      </c>
      <c r="I14">
        <v>105</v>
      </c>
      <c r="J14" s="13">
        <v>0.79</v>
      </c>
      <c r="K14" s="13">
        <v>0.58</v>
      </c>
    </row>
    <row r="15" spans="1:11">
      <c r="A15" t="s">
        <v>87</v>
      </c>
      <c r="B15">
        <v>41</v>
      </c>
      <c r="C15">
        <v>54</v>
      </c>
      <c r="D15">
        <v>38</v>
      </c>
      <c r="E15">
        <v>47</v>
      </c>
      <c r="F15">
        <v>38</v>
      </c>
      <c r="G15">
        <v>41</v>
      </c>
      <c r="H15">
        <v>32</v>
      </c>
      <c r="I15">
        <v>30</v>
      </c>
      <c r="J15" s="13">
        <v>0.78</v>
      </c>
      <c r="K15" s="13">
        <v>0.56</v>
      </c>
    </row>
    <row r="16" spans="1:11">
      <c r="A16" t="s">
        <v>88</v>
      </c>
      <c r="B16">
        <v>41</v>
      </c>
      <c r="C16">
        <v>69</v>
      </c>
      <c r="D16">
        <v>41</v>
      </c>
      <c r="E16">
        <v>69</v>
      </c>
      <c r="F16">
        <v>36</v>
      </c>
      <c r="G16">
        <v>43</v>
      </c>
      <c r="H16">
        <v>33</v>
      </c>
      <c r="I16">
        <v>41</v>
      </c>
      <c r="J16" s="13">
        <v>0.8</v>
      </c>
      <c r="K16" s="13">
        <v>0.59</v>
      </c>
    </row>
    <row r="17" spans="1:12">
      <c r="A17" t="s">
        <v>89</v>
      </c>
      <c r="B17">
        <v>89</v>
      </c>
      <c r="C17">
        <v>160</v>
      </c>
      <c r="D17">
        <v>89</v>
      </c>
      <c r="E17">
        <v>160</v>
      </c>
      <c r="F17">
        <v>85</v>
      </c>
      <c r="G17">
        <v>142</v>
      </c>
      <c r="H17">
        <v>71</v>
      </c>
      <c r="I17">
        <v>141</v>
      </c>
      <c r="J17" s="13">
        <v>0.8</v>
      </c>
      <c r="K17" s="13">
        <v>0.88</v>
      </c>
    </row>
    <row r="18" spans="1:12">
      <c r="A18" t="s">
        <v>90</v>
      </c>
      <c r="B18">
        <v>77</v>
      </c>
      <c r="C18">
        <v>127</v>
      </c>
      <c r="D18">
        <v>77</v>
      </c>
      <c r="E18">
        <v>124</v>
      </c>
      <c r="F18">
        <v>71</v>
      </c>
      <c r="G18">
        <v>102</v>
      </c>
      <c r="H18">
        <v>59</v>
      </c>
      <c r="I18">
        <v>86</v>
      </c>
      <c r="J18" s="13">
        <v>0.77</v>
      </c>
      <c r="K18" s="13">
        <v>0.68</v>
      </c>
    </row>
    <row r="19" spans="1:12">
      <c r="A19" t="s">
        <v>91</v>
      </c>
      <c r="B19">
        <v>60</v>
      </c>
      <c r="C19">
        <v>74</v>
      </c>
      <c r="D19">
        <v>57</v>
      </c>
      <c r="E19">
        <v>71</v>
      </c>
      <c r="F19">
        <v>57</v>
      </c>
      <c r="G19">
        <v>68</v>
      </c>
      <c r="H19">
        <v>51</v>
      </c>
      <c r="I19">
        <v>67</v>
      </c>
      <c r="J19" s="13">
        <v>0.85</v>
      </c>
      <c r="K19" s="13">
        <v>0.91</v>
      </c>
    </row>
    <row r="20" spans="1:12">
      <c r="A20" t="s">
        <v>92</v>
      </c>
      <c r="B20">
        <v>61</v>
      </c>
      <c r="C20">
        <v>95</v>
      </c>
      <c r="D20">
        <v>60</v>
      </c>
      <c r="E20">
        <v>94</v>
      </c>
      <c r="F20">
        <v>54</v>
      </c>
      <c r="G20">
        <v>72</v>
      </c>
      <c r="H20">
        <v>49</v>
      </c>
      <c r="I20">
        <v>61</v>
      </c>
      <c r="J20" s="13">
        <v>0.8</v>
      </c>
      <c r="K20" s="13">
        <v>0.64</v>
      </c>
    </row>
    <row r="21" spans="1:12">
      <c r="A21" t="s">
        <v>93</v>
      </c>
      <c r="B21">
        <v>47</v>
      </c>
      <c r="C21">
        <v>54</v>
      </c>
      <c r="D21">
        <v>47</v>
      </c>
      <c r="E21">
        <v>54</v>
      </c>
      <c r="F21">
        <v>40</v>
      </c>
      <c r="G21">
        <v>31</v>
      </c>
      <c r="H21">
        <v>33</v>
      </c>
      <c r="I21">
        <v>27</v>
      </c>
      <c r="J21" s="13">
        <v>0.7</v>
      </c>
      <c r="K21" s="13">
        <v>0.5</v>
      </c>
    </row>
    <row r="22" spans="1:12">
      <c r="A22" t="s">
        <v>94</v>
      </c>
      <c r="B22">
        <v>67</v>
      </c>
      <c r="C22">
        <v>90</v>
      </c>
      <c r="D22">
        <v>62</v>
      </c>
      <c r="E22">
        <v>90</v>
      </c>
      <c r="F22">
        <v>57</v>
      </c>
      <c r="G22">
        <v>66</v>
      </c>
      <c r="H22">
        <v>50</v>
      </c>
      <c r="I22">
        <v>63</v>
      </c>
      <c r="J22" s="13">
        <v>0.75</v>
      </c>
      <c r="K22" s="13">
        <v>0.7</v>
      </c>
    </row>
    <row r="23" spans="1:12">
      <c r="A23" t="s">
        <v>95</v>
      </c>
      <c r="B23">
        <v>77</v>
      </c>
      <c r="C23">
        <v>156</v>
      </c>
      <c r="D23">
        <v>77</v>
      </c>
      <c r="E23">
        <v>148</v>
      </c>
      <c r="F23">
        <v>76</v>
      </c>
      <c r="G23">
        <v>127</v>
      </c>
      <c r="H23">
        <v>60</v>
      </c>
      <c r="I23">
        <v>118</v>
      </c>
      <c r="J23" s="13">
        <v>0.78</v>
      </c>
      <c r="K23" s="13">
        <v>0.76</v>
      </c>
    </row>
    <row r="24" spans="1:12">
      <c r="A24" t="s">
        <v>96</v>
      </c>
      <c r="B24">
        <v>60</v>
      </c>
      <c r="C24">
        <v>87</v>
      </c>
      <c r="D24">
        <v>59</v>
      </c>
      <c r="E24">
        <v>87</v>
      </c>
      <c r="F24">
        <v>52</v>
      </c>
      <c r="G24">
        <v>56</v>
      </c>
      <c r="H24">
        <v>49</v>
      </c>
      <c r="I24">
        <v>54</v>
      </c>
      <c r="J24" s="13">
        <v>0.82</v>
      </c>
      <c r="K24" s="13">
        <v>0.62</v>
      </c>
    </row>
    <row r="25" spans="1:12">
      <c r="A25" t="s">
        <v>97</v>
      </c>
      <c r="B25">
        <f>SUM(B3:B24)</f>
        <v>1538</v>
      </c>
      <c r="C25">
        <f>SUM(C3:C24)</f>
        <v>2651</v>
      </c>
      <c r="H25">
        <f>SUM(H3:H24)</f>
        <v>1232</v>
      </c>
      <c r="I25">
        <f>SUM(I3:I24)</f>
        <v>1900</v>
      </c>
      <c r="J25" s="13">
        <f>H25/B25</f>
        <v>0.801040312093628</v>
      </c>
      <c r="K25" s="13">
        <f>I25/C25</f>
        <v>0.716710675216899</v>
      </c>
      <c r="L25" t="s">
        <v>74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J17" sqref="J17"/>
    </sheetView>
  </sheetViews>
  <sheetFormatPr defaultColWidth="9" defaultRowHeight="16.8"/>
  <cols>
    <col min="3" max="3" width="16.6640625" customWidth="1"/>
    <col min="5" max="5" width="15.234375" customWidth="1"/>
    <col min="8" max="8" width="11.0703125" customWidth="1"/>
    <col min="9" max="9" width="10.8046875" customWidth="1"/>
    <col min="10" max="10" width="16.3125" customWidth="1"/>
  </cols>
  <sheetData>
    <row r="1" s="8" customFormat="1" ht="51" spans="1:10">
      <c r="A1" s="8" t="s">
        <v>8</v>
      </c>
      <c r="B1" s="11" t="s">
        <v>47</v>
      </c>
      <c r="C1" s="11"/>
      <c r="D1" s="11" t="s">
        <v>48</v>
      </c>
      <c r="E1" s="11"/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0">
      <c r="A2" t="s">
        <v>32</v>
      </c>
      <c r="B2">
        <v>39</v>
      </c>
      <c r="C2">
        <v>57</v>
      </c>
      <c r="D2">
        <v>63</v>
      </c>
      <c r="E2">
        <v>84</v>
      </c>
      <c r="F2">
        <v>84</v>
      </c>
      <c r="G2">
        <v>122</v>
      </c>
      <c r="H2" s="12">
        <v>1.47</v>
      </c>
      <c r="I2" s="12">
        <v>1.45</v>
      </c>
      <c r="J2" s="13">
        <v>0.86</v>
      </c>
    </row>
    <row r="3" spans="1:10">
      <c r="A3" t="s">
        <v>33</v>
      </c>
      <c r="B3">
        <v>43</v>
      </c>
      <c r="C3">
        <v>49</v>
      </c>
      <c r="D3">
        <v>93</v>
      </c>
      <c r="E3">
        <v>109</v>
      </c>
      <c r="F3">
        <v>81</v>
      </c>
      <c r="G3">
        <v>159</v>
      </c>
      <c r="H3" s="12">
        <v>1.65</v>
      </c>
      <c r="I3" s="12">
        <v>1.46</v>
      </c>
      <c r="J3" s="13">
        <v>1</v>
      </c>
    </row>
    <row r="4" spans="1:10">
      <c r="A4" t="s">
        <v>34</v>
      </c>
      <c r="B4">
        <v>25</v>
      </c>
      <c r="C4">
        <v>24</v>
      </c>
      <c r="D4">
        <v>40</v>
      </c>
      <c r="E4">
        <v>27</v>
      </c>
      <c r="F4">
        <v>40</v>
      </c>
      <c r="G4">
        <v>41</v>
      </c>
      <c r="H4" s="12">
        <v>1.6</v>
      </c>
      <c r="I4" s="12">
        <v>1.02</v>
      </c>
      <c r="J4" s="13">
        <v>0.66</v>
      </c>
    </row>
    <row r="5" spans="1:10">
      <c r="A5" t="s">
        <v>35</v>
      </c>
      <c r="B5">
        <v>38</v>
      </c>
      <c r="C5">
        <v>35</v>
      </c>
      <c r="D5">
        <v>55</v>
      </c>
      <c r="E5">
        <v>82</v>
      </c>
      <c r="F5">
        <v>59</v>
      </c>
      <c r="G5">
        <v>98</v>
      </c>
      <c r="H5" s="12">
        <v>1.55</v>
      </c>
      <c r="I5" s="12">
        <v>1.2</v>
      </c>
      <c r="J5" s="13">
        <v>0.9</v>
      </c>
    </row>
    <row r="6" spans="1:10">
      <c r="A6" t="s">
        <v>36</v>
      </c>
      <c r="B6">
        <v>56</v>
      </c>
      <c r="C6">
        <v>46</v>
      </c>
      <c r="D6">
        <v>76</v>
      </c>
      <c r="E6">
        <v>78</v>
      </c>
      <c r="F6">
        <v>73</v>
      </c>
      <c r="G6">
        <v>116</v>
      </c>
      <c r="H6" s="12">
        <v>1.3</v>
      </c>
      <c r="I6" s="12">
        <v>1.49</v>
      </c>
      <c r="J6" s="13">
        <v>0.72</v>
      </c>
    </row>
    <row r="7" spans="1:10">
      <c r="A7" t="s">
        <v>37</v>
      </c>
      <c r="B7">
        <v>43</v>
      </c>
      <c r="C7">
        <v>26</v>
      </c>
      <c r="D7">
        <v>53</v>
      </c>
      <c r="E7">
        <v>39</v>
      </c>
      <c r="F7">
        <v>56</v>
      </c>
      <c r="G7">
        <v>80</v>
      </c>
      <c r="H7" s="12">
        <v>1.3</v>
      </c>
      <c r="I7" s="12">
        <v>1.51</v>
      </c>
      <c r="J7" s="13">
        <v>0.86</v>
      </c>
    </row>
    <row r="8" spans="1:10">
      <c r="A8" t="s">
        <v>38</v>
      </c>
      <c r="B8">
        <v>65</v>
      </c>
      <c r="C8">
        <v>40</v>
      </c>
      <c r="D8">
        <v>86</v>
      </c>
      <c r="E8">
        <v>116</v>
      </c>
      <c r="F8">
        <v>85</v>
      </c>
      <c r="G8">
        <v>141</v>
      </c>
      <c r="H8" s="12">
        <v>1.31</v>
      </c>
      <c r="I8" s="12">
        <v>1.22</v>
      </c>
      <c r="J8" s="13">
        <v>0.86</v>
      </c>
    </row>
    <row r="9" spans="1:10">
      <c r="A9" t="s">
        <v>39</v>
      </c>
      <c r="B9">
        <v>44</v>
      </c>
      <c r="C9">
        <v>54</v>
      </c>
      <c r="D9">
        <v>62</v>
      </c>
      <c r="E9">
        <v>103</v>
      </c>
      <c r="F9">
        <v>80</v>
      </c>
      <c r="G9">
        <v>147</v>
      </c>
      <c r="H9" s="12">
        <v>1.48</v>
      </c>
      <c r="I9" s="12">
        <v>1.43</v>
      </c>
      <c r="J9" s="13">
        <v>0.9</v>
      </c>
    </row>
    <row r="10" spans="1:10">
      <c r="A10" t="s">
        <v>40</v>
      </c>
      <c r="B10">
        <v>70</v>
      </c>
      <c r="C10">
        <v>50</v>
      </c>
      <c r="D10">
        <v>116</v>
      </c>
      <c r="E10">
        <v>80</v>
      </c>
      <c r="F10">
        <v>89</v>
      </c>
      <c r="G10">
        <v>139</v>
      </c>
      <c r="H10" s="12">
        <v>1.27</v>
      </c>
      <c r="I10" s="12">
        <v>1.2</v>
      </c>
      <c r="J10" s="13">
        <v>0.86</v>
      </c>
    </row>
    <row r="11" spans="1:10">
      <c r="A11" t="s">
        <v>41</v>
      </c>
      <c r="B11">
        <v>23</v>
      </c>
      <c r="C11">
        <v>41</v>
      </c>
      <c r="D11">
        <v>34</v>
      </c>
      <c r="E11">
        <v>80</v>
      </c>
      <c r="F11">
        <v>52</v>
      </c>
      <c r="G11">
        <v>97</v>
      </c>
      <c r="H11" s="12">
        <v>1.27</v>
      </c>
      <c r="I11" s="12">
        <v>1.21</v>
      </c>
      <c r="J11" s="13">
        <v>0.66</v>
      </c>
    </row>
    <row r="12" spans="1:10">
      <c r="A12" t="s">
        <v>42</v>
      </c>
      <c r="B12">
        <v>40</v>
      </c>
      <c r="C12">
        <v>40</v>
      </c>
      <c r="D12">
        <v>80</v>
      </c>
      <c r="E12">
        <v>69</v>
      </c>
      <c r="F12">
        <v>38</v>
      </c>
      <c r="G12">
        <v>70</v>
      </c>
      <c r="H12" s="12">
        <v>0.95</v>
      </c>
      <c r="I12" s="12">
        <v>0.88</v>
      </c>
      <c r="J12" s="13">
        <v>0.79</v>
      </c>
    </row>
    <row r="13" spans="1:10">
      <c r="A13" t="s">
        <v>43</v>
      </c>
      <c r="B13">
        <v>64</v>
      </c>
      <c r="C13">
        <v>49</v>
      </c>
      <c r="D13">
        <v>97</v>
      </c>
      <c r="E13">
        <v>60</v>
      </c>
      <c r="F13">
        <v>92</v>
      </c>
      <c r="G13">
        <v>134</v>
      </c>
      <c r="H13" s="12">
        <v>1.44</v>
      </c>
      <c r="I13" s="12">
        <v>1.38</v>
      </c>
      <c r="J13" s="13">
        <v>0.93</v>
      </c>
    </row>
    <row r="14" spans="1:10">
      <c r="A14" t="s">
        <v>44</v>
      </c>
      <c r="B14">
        <v>63</v>
      </c>
      <c r="C14">
        <v>43</v>
      </c>
      <c r="D14">
        <v>90</v>
      </c>
      <c r="E14">
        <v>87</v>
      </c>
      <c r="F14">
        <v>86</v>
      </c>
      <c r="G14">
        <v>110</v>
      </c>
      <c r="H14" s="12">
        <v>1.37</v>
      </c>
      <c r="I14" s="12">
        <v>1.22</v>
      </c>
      <c r="J14" s="13">
        <v>0.86</v>
      </c>
    </row>
    <row r="15" spans="1:10">
      <c r="A15" t="s">
        <v>45</v>
      </c>
      <c r="B15">
        <v>24</v>
      </c>
      <c r="C15">
        <v>39</v>
      </c>
      <c r="D15">
        <v>30</v>
      </c>
      <c r="E15">
        <v>70</v>
      </c>
      <c r="F15">
        <v>54</v>
      </c>
      <c r="G15">
        <v>87</v>
      </c>
      <c r="H15" s="12">
        <v>1.38</v>
      </c>
      <c r="I15" s="12">
        <v>1.24</v>
      </c>
      <c r="J15" s="13">
        <v>0.72</v>
      </c>
    </row>
    <row r="16" spans="1:10">
      <c r="A16" t="s">
        <v>46</v>
      </c>
      <c r="B16">
        <v>29</v>
      </c>
      <c r="C16">
        <v>31</v>
      </c>
      <c r="D16">
        <v>40</v>
      </c>
      <c r="E16">
        <v>72</v>
      </c>
      <c r="F16">
        <v>49</v>
      </c>
      <c r="G16">
        <v>91</v>
      </c>
      <c r="H16" s="12">
        <v>1.58</v>
      </c>
      <c r="I16" s="12">
        <v>1.26</v>
      </c>
      <c r="J16" s="13">
        <v>0.76</v>
      </c>
    </row>
    <row r="17" spans="2:10">
      <c r="B17">
        <f t="shared" ref="B17:F17" si="0">SUM(B2:B16)</f>
        <v>666</v>
      </c>
      <c r="C17">
        <f t="shared" si="0"/>
        <v>624</v>
      </c>
      <c r="D17">
        <f t="shared" si="0"/>
        <v>1015</v>
      </c>
      <c r="E17">
        <f t="shared" si="0"/>
        <v>1156</v>
      </c>
      <c r="H17" s="12">
        <f>AVERAGE(H2:H16)</f>
        <v>1.39466666666667</v>
      </c>
      <c r="I17" s="12">
        <f>AVERAGE(I2:I16)</f>
        <v>1.278</v>
      </c>
      <c r="J17" s="13">
        <f>AVERAGE(J2:J16)</f>
        <v>0.822666666666667</v>
      </c>
    </row>
    <row r="18" spans="2:10">
      <c r="J18" t="str">
        <f>TEXT(MIN(J2:J17),"0.00%")&amp;"-"&amp;TEXT(MAX(J2:J17),"0.00%")</f>
        <v>66.00%-100.00%</v>
      </c>
    </row>
  </sheetData>
  <mergeCells count="2">
    <mergeCell ref="B1:C1"/>
    <mergeCell ref="D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C23" sqref="C23"/>
    </sheetView>
  </sheetViews>
  <sheetFormatPr defaultColWidth="9" defaultRowHeight="16.8"/>
  <sheetData>
    <row r="1" s="8" customFormat="1" ht="63" customHeight="1" spans="1:11">
      <c r="A1" s="2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9" t="s">
        <v>5</v>
      </c>
      <c r="B2" s="9" t="s">
        <v>6</v>
      </c>
      <c r="C2" s="9" t="s">
        <v>7</v>
      </c>
      <c r="D2" s="9" t="s">
        <v>6</v>
      </c>
      <c r="E2" s="9" t="s">
        <v>7</v>
      </c>
      <c r="F2" s="9" t="s">
        <v>6</v>
      </c>
      <c r="G2" s="9" t="s">
        <v>7</v>
      </c>
      <c r="H2" s="9" t="s">
        <v>6</v>
      </c>
      <c r="I2" s="9" t="s">
        <v>7</v>
      </c>
      <c r="J2" s="9" t="s">
        <v>6</v>
      </c>
      <c r="K2" s="9" t="s">
        <v>7</v>
      </c>
    </row>
    <row r="3" spans="1:11">
      <c r="A3" s="9" t="s">
        <v>32</v>
      </c>
      <c r="B3" s="9">
        <v>96</v>
      </c>
      <c r="C3" s="9">
        <v>147</v>
      </c>
      <c r="D3" s="9">
        <v>95</v>
      </c>
      <c r="E3" s="9">
        <v>141</v>
      </c>
      <c r="F3" s="9">
        <v>91</v>
      </c>
      <c r="G3" s="9">
        <v>123</v>
      </c>
      <c r="H3" s="9">
        <v>84</v>
      </c>
      <c r="I3" s="9">
        <v>122</v>
      </c>
      <c r="J3" s="10">
        <v>0.88</v>
      </c>
      <c r="K3" s="10">
        <v>0.83</v>
      </c>
    </row>
    <row r="4" spans="1:11">
      <c r="A4" s="9" t="s">
        <v>33</v>
      </c>
      <c r="B4" s="9">
        <v>92</v>
      </c>
      <c r="C4" s="9">
        <v>202</v>
      </c>
      <c r="D4" s="9">
        <v>91</v>
      </c>
      <c r="E4" s="9">
        <v>200</v>
      </c>
      <c r="F4" s="9">
        <v>86</v>
      </c>
      <c r="G4" s="9">
        <v>159</v>
      </c>
      <c r="H4" s="9">
        <v>81</v>
      </c>
      <c r="I4" s="9">
        <v>159</v>
      </c>
      <c r="J4" s="10">
        <v>0.88</v>
      </c>
      <c r="K4" s="10">
        <v>0.79</v>
      </c>
    </row>
    <row r="5" spans="1:11">
      <c r="A5" s="9" t="s">
        <v>34</v>
      </c>
      <c r="B5" s="9">
        <v>49</v>
      </c>
      <c r="C5" s="9">
        <v>67</v>
      </c>
      <c r="D5" s="9">
        <v>49</v>
      </c>
      <c r="E5" s="9">
        <v>53</v>
      </c>
      <c r="F5" s="9">
        <v>45</v>
      </c>
      <c r="G5" s="9">
        <v>41</v>
      </c>
      <c r="H5" s="9">
        <v>40</v>
      </c>
      <c r="I5" s="9">
        <v>41</v>
      </c>
      <c r="J5" s="10">
        <v>0.82</v>
      </c>
      <c r="K5" s="10">
        <v>0.61</v>
      </c>
    </row>
    <row r="6" spans="1:11">
      <c r="A6" s="9" t="s">
        <v>35</v>
      </c>
      <c r="B6" s="9">
        <v>73</v>
      </c>
      <c r="C6" s="9">
        <v>137</v>
      </c>
      <c r="D6" s="9">
        <v>73</v>
      </c>
      <c r="E6" s="9">
        <v>134</v>
      </c>
      <c r="F6" s="9">
        <v>71</v>
      </c>
      <c r="G6" s="9">
        <v>108</v>
      </c>
      <c r="H6" s="9">
        <v>59</v>
      </c>
      <c r="I6" s="9">
        <v>98</v>
      </c>
      <c r="J6" s="10">
        <v>0.81</v>
      </c>
      <c r="K6" s="10">
        <v>0.72</v>
      </c>
    </row>
    <row r="7" spans="1:11">
      <c r="A7" s="9" t="s">
        <v>36</v>
      </c>
      <c r="B7" s="9">
        <v>102</v>
      </c>
      <c r="C7" s="9">
        <v>154</v>
      </c>
      <c r="D7" s="9">
        <v>102</v>
      </c>
      <c r="E7" s="9">
        <v>152</v>
      </c>
      <c r="F7" s="9">
        <v>94</v>
      </c>
      <c r="G7" s="9">
        <v>118</v>
      </c>
      <c r="H7" s="9">
        <v>73</v>
      </c>
      <c r="I7" s="9">
        <v>116</v>
      </c>
      <c r="J7" s="10">
        <v>0.72</v>
      </c>
      <c r="K7" s="10">
        <v>0.75</v>
      </c>
    </row>
    <row r="8" spans="1:11">
      <c r="A8" s="9" t="s">
        <v>37</v>
      </c>
      <c r="B8" s="9">
        <v>69</v>
      </c>
      <c r="C8" s="9">
        <v>92</v>
      </c>
      <c r="D8" s="9">
        <v>68</v>
      </c>
      <c r="E8" s="9">
        <v>90</v>
      </c>
      <c r="F8" s="9">
        <v>65</v>
      </c>
      <c r="G8" s="9">
        <v>81</v>
      </c>
      <c r="H8" s="9">
        <v>56</v>
      </c>
      <c r="I8" s="9">
        <v>80</v>
      </c>
      <c r="J8" s="10">
        <v>0.81</v>
      </c>
      <c r="K8" s="10">
        <v>0.87</v>
      </c>
    </row>
    <row r="9" spans="1:11">
      <c r="A9" s="9" t="s">
        <v>38</v>
      </c>
      <c r="B9" s="9">
        <v>105</v>
      </c>
      <c r="C9" s="9">
        <v>202</v>
      </c>
      <c r="D9" s="9">
        <v>102</v>
      </c>
      <c r="E9" s="9">
        <v>202</v>
      </c>
      <c r="F9" s="9">
        <v>96</v>
      </c>
      <c r="G9" s="9">
        <v>143</v>
      </c>
      <c r="H9" s="9">
        <v>85</v>
      </c>
      <c r="I9" s="9">
        <v>141</v>
      </c>
      <c r="J9" s="10">
        <v>0.81</v>
      </c>
      <c r="K9" s="10">
        <v>0.7</v>
      </c>
    </row>
    <row r="10" spans="1:11">
      <c r="A10" s="9" t="s">
        <v>39</v>
      </c>
      <c r="B10" s="9">
        <v>98</v>
      </c>
      <c r="C10" s="9">
        <v>165</v>
      </c>
      <c r="D10" s="9">
        <v>98</v>
      </c>
      <c r="E10" s="9">
        <v>165</v>
      </c>
      <c r="F10" s="9">
        <v>95</v>
      </c>
      <c r="G10" s="9">
        <v>153</v>
      </c>
      <c r="H10" s="9">
        <v>80</v>
      </c>
      <c r="I10" s="9">
        <v>147</v>
      </c>
      <c r="J10" s="10">
        <v>0.82</v>
      </c>
      <c r="K10" s="10">
        <v>0.89</v>
      </c>
    </row>
    <row r="11" spans="1:11">
      <c r="A11" s="9" t="s">
        <v>40</v>
      </c>
      <c r="B11" s="9">
        <v>120</v>
      </c>
      <c r="C11" s="9">
        <v>196</v>
      </c>
      <c r="D11" s="9">
        <v>120</v>
      </c>
      <c r="E11" s="9">
        <v>194</v>
      </c>
      <c r="F11" s="9">
        <v>115</v>
      </c>
      <c r="G11" s="9">
        <v>158</v>
      </c>
      <c r="H11" s="9">
        <v>89</v>
      </c>
      <c r="I11" s="9">
        <v>139</v>
      </c>
      <c r="J11" s="10">
        <v>0.74</v>
      </c>
      <c r="K11" s="10">
        <v>0.71</v>
      </c>
    </row>
    <row r="12" spans="1:11">
      <c r="A12" s="9" t="s">
        <v>41</v>
      </c>
      <c r="B12" s="9">
        <v>64</v>
      </c>
      <c r="C12" s="9">
        <v>114</v>
      </c>
      <c r="D12" s="9">
        <v>64</v>
      </c>
      <c r="E12" s="9">
        <v>113</v>
      </c>
      <c r="F12" s="9">
        <v>64</v>
      </c>
      <c r="G12" s="9">
        <v>111</v>
      </c>
      <c r="H12" s="9">
        <v>52</v>
      </c>
      <c r="I12" s="9">
        <v>97</v>
      </c>
      <c r="J12" s="10">
        <v>0.81</v>
      </c>
      <c r="K12" s="10">
        <v>0.85</v>
      </c>
    </row>
    <row r="13" spans="1:11">
      <c r="A13" s="9" t="s">
        <v>42</v>
      </c>
      <c r="B13" s="9">
        <v>80</v>
      </c>
      <c r="C13" s="9">
        <v>149</v>
      </c>
      <c r="D13" s="9">
        <v>72</v>
      </c>
      <c r="E13" s="9">
        <v>84</v>
      </c>
      <c r="F13" s="9">
        <v>67</v>
      </c>
      <c r="G13" s="9">
        <v>71</v>
      </c>
      <c r="H13" s="9">
        <v>38</v>
      </c>
      <c r="I13" s="9">
        <v>70</v>
      </c>
      <c r="J13" s="10">
        <v>0.47</v>
      </c>
      <c r="K13" s="10">
        <v>0.47</v>
      </c>
    </row>
    <row r="14" spans="1:11">
      <c r="A14" s="9" t="s">
        <v>43</v>
      </c>
      <c r="B14" s="9">
        <v>113</v>
      </c>
      <c r="C14" s="9">
        <v>157</v>
      </c>
      <c r="D14" s="9">
        <v>112</v>
      </c>
      <c r="E14" s="9">
        <v>157</v>
      </c>
      <c r="F14" s="9">
        <v>110</v>
      </c>
      <c r="G14" s="9">
        <v>141</v>
      </c>
      <c r="H14" s="9">
        <v>92</v>
      </c>
      <c r="I14" s="9">
        <v>134</v>
      </c>
      <c r="J14" s="10">
        <v>0.81</v>
      </c>
      <c r="K14" s="10">
        <v>0.85</v>
      </c>
    </row>
    <row r="15" spans="1:11">
      <c r="A15" s="9" t="s">
        <v>44</v>
      </c>
      <c r="B15" s="9">
        <v>106</v>
      </c>
      <c r="C15" s="9">
        <v>177</v>
      </c>
      <c r="D15" s="9">
        <v>106</v>
      </c>
      <c r="E15" s="9">
        <v>177</v>
      </c>
      <c r="F15" s="9">
        <v>104</v>
      </c>
      <c r="G15" s="9">
        <v>117</v>
      </c>
      <c r="H15" s="9">
        <v>86</v>
      </c>
      <c r="I15" s="9">
        <v>110</v>
      </c>
      <c r="J15" s="10">
        <v>0.81</v>
      </c>
      <c r="K15" s="10">
        <v>0.62</v>
      </c>
    </row>
    <row r="16" spans="1:11">
      <c r="A16" s="9" t="s">
        <v>45</v>
      </c>
      <c r="B16" s="9">
        <v>63</v>
      </c>
      <c r="C16" s="9">
        <v>100</v>
      </c>
      <c r="D16" s="9">
        <v>63</v>
      </c>
      <c r="E16" s="9">
        <v>100</v>
      </c>
      <c r="F16" s="9">
        <v>59</v>
      </c>
      <c r="G16" s="9">
        <v>87</v>
      </c>
      <c r="H16" s="9">
        <v>54</v>
      </c>
      <c r="I16" s="9">
        <v>87</v>
      </c>
      <c r="J16" s="10">
        <v>0.86</v>
      </c>
      <c r="K16" s="10">
        <v>0.87</v>
      </c>
    </row>
    <row r="17" spans="1:12">
      <c r="A17" s="9" t="s">
        <v>46</v>
      </c>
      <c r="B17" s="9">
        <v>60</v>
      </c>
      <c r="C17" s="9">
        <v>112</v>
      </c>
      <c r="D17" s="9">
        <v>60</v>
      </c>
      <c r="E17" s="9">
        <v>112</v>
      </c>
      <c r="F17" s="9">
        <v>57</v>
      </c>
      <c r="G17" s="9">
        <v>93</v>
      </c>
      <c r="H17" s="9">
        <v>49</v>
      </c>
      <c r="I17" s="9">
        <v>91</v>
      </c>
      <c r="J17" s="10">
        <v>0.82</v>
      </c>
      <c r="K17" s="10">
        <v>0.81</v>
      </c>
    </row>
    <row r="18" spans="1:12">
      <c r="A18" s="9" t="s">
        <v>97</v>
      </c>
      <c r="B18" s="9">
        <f>SUM(B3:B17)</f>
        <v>1290</v>
      </c>
      <c r="C18" s="9">
        <f>SUM(C3:C17)</f>
        <v>2171</v>
      </c>
      <c r="D18" s="9"/>
      <c r="E18" s="9"/>
      <c r="F18" s="9"/>
      <c r="G18" s="9"/>
      <c r="H18" s="9">
        <f>SUM(H3:H17)</f>
        <v>1018</v>
      </c>
      <c r="I18" s="9">
        <f>SUM(I3:I17)</f>
        <v>1632</v>
      </c>
      <c r="J18" s="10">
        <f>H18/B18</f>
        <v>0.789147286821705</v>
      </c>
      <c r="K18" s="10">
        <f>I18/C18</f>
        <v>0.751727314601566</v>
      </c>
      <c r="L18" t="s">
        <v>74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92" zoomScaleNormal="92" workbookViewId="0">
      <selection activeCell="K9" sqref="K9"/>
    </sheetView>
  </sheetViews>
  <sheetFormatPr defaultColWidth="9" defaultRowHeight="16.8" outlineLevelCol="4"/>
  <cols>
    <col min="1" max="1" width="22.0078125" customWidth="1"/>
    <col min="2" max="2" width="16.015625" customWidth="1"/>
    <col min="3" max="3" width="16.53125" customWidth="1"/>
    <col min="4" max="4" width="13.90625" customWidth="1"/>
  </cols>
  <sheetData>
    <row r="1" ht="34" spans="1:5">
      <c r="A1" s="1" t="s">
        <v>98</v>
      </c>
      <c r="B1" s="1" t="s">
        <v>99</v>
      </c>
      <c r="C1" s="1" t="s">
        <v>100</v>
      </c>
      <c r="D1" s="1" t="s">
        <v>101</v>
      </c>
    </row>
    <row r="2" ht="17" spans="1:5">
      <c r="A2" s="2" t="s">
        <v>102</v>
      </c>
      <c r="B2" s="3">
        <v>15</v>
      </c>
      <c r="C2" s="3">
        <v>22</v>
      </c>
      <c r="D2" s="3">
        <v>24</v>
      </c>
    </row>
    <row r="3" ht="17" spans="1:5">
      <c r="A3" s="2" t="s">
        <v>103</v>
      </c>
      <c r="B3" s="4">
        <f>sector_3_turns_screening_s001!B18</f>
        <v>1290</v>
      </c>
      <c r="C3" s="4">
        <f>sector_3_turns_screening_s002!B25</f>
        <v>1538</v>
      </c>
      <c r="D3" s="4">
        <f>sector_3_turns_screening_s003!B27</f>
        <v>1845</v>
      </c>
      <c r="E3">
        <f t="shared" ref="E3:E7" si="0">SUM(B3:D3)</f>
        <v>4673</v>
      </c>
    </row>
    <row r="4" ht="17" spans="1:5">
      <c r="A4" s="2" t="s">
        <v>104</v>
      </c>
      <c r="B4" s="4">
        <f>sector_3_turns_screening_s001!H18</f>
        <v>1018</v>
      </c>
      <c r="C4" s="4">
        <f>sector_3_turns_screening_s002!H25</f>
        <v>1232</v>
      </c>
      <c r="D4" s="4">
        <f>sector_3_turns_screening_s003!H27</f>
        <v>1440</v>
      </c>
      <c r="E4">
        <f t="shared" si="0"/>
        <v>3690</v>
      </c>
    </row>
    <row r="5" ht="17" spans="1:5">
      <c r="A5" s="2" t="s">
        <v>105</v>
      </c>
      <c r="B5" s="5">
        <f>sector_3_turns_screening_s001!J18</f>
        <v>0.789147286821705</v>
      </c>
      <c r="C5" s="5">
        <f>sector_3_turns_screening_s002!J25</f>
        <v>0.801040312093628</v>
      </c>
      <c r="D5" s="5">
        <f>sector_3_turns_screening_s003!J27</f>
        <v>0.780487804878049</v>
      </c>
    </row>
    <row r="6" ht="17" spans="1:5">
      <c r="A6" s="2" t="s">
        <v>106</v>
      </c>
      <c r="B6" s="4">
        <f>sector_3_turns_screening_s001!C18</f>
        <v>2171</v>
      </c>
      <c r="C6" s="4">
        <f>sector_3_turns_screening_s002!C25</f>
        <v>2651</v>
      </c>
      <c r="D6" s="4">
        <f>sector_3_turns_screening_s003!C27</f>
        <v>3284</v>
      </c>
      <c r="E6">
        <f t="shared" si="0"/>
        <v>8106</v>
      </c>
    </row>
    <row r="7" ht="17" spans="1:5">
      <c r="A7" s="2" t="s">
        <v>107</v>
      </c>
      <c r="B7" s="4">
        <f>sector_3_turns_screening_s001!I18</f>
        <v>1632</v>
      </c>
      <c r="C7" s="4">
        <f>sector_3_turns_screening_s002!I25</f>
        <v>1900</v>
      </c>
      <c r="D7" s="4">
        <f>sector_3_turns_screening_s003!I27</f>
        <v>2290</v>
      </c>
      <c r="E7">
        <f t="shared" si="0"/>
        <v>5822</v>
      </c>
    </row>
    <row r="8" ht="17" spans="1:5">
      <c r="A8" s="2" t="s">
        <v>108</v>
      </c>
      <c r="B8" s="5">
        <f>sector_3_turns_screening_s001!K18</f>
        <v>0.751727314601566</v>
      </c>
      <c r="C8" s="5">
        <f>sector_3_turns_screening_s002!K25</f>
        <v>0.716710675216899</v>
      </c>
      <c r="D8" s="5">
        <f>sector_3_turns_screening_s003!K27</f>
        <v>0.697320341047503</v>
      </c>
    </row>
    <row r="9" ht="34" spans="1:5">
      <c r="A9" s="2" t="s">
        <v>109</v>
      </c>
      <c r="B9" s="3">
        <v>1.41</v>
      </c>
      <c r="C9" s="6">
        <f>sector_DST_s002!H24</f>
        <v>1.36318181818182</v>
      </c>
      <c r="D9" s="6">
        <f>sector_DST_s003!H26</f>
        <v>1.34541666666667</v>
      </c>
    </row>
    <row r="10" ht="34" spans="1:5">
      <c r="A10" s="2" t="s">
        <v>110</v>
      </c>
      <c r="B10" s="3">
        <v>1.28</v>
      </c>
      <c r="C10" s="6">
        <f>sector_DST_s002!I24</f>
        <v>1.17909090909091</v>
      </c>
      <c r="D10" s="6">
        <f>sector_DST_s003!I26</f>
        <v>1.18125</v>
      </c>
    </row>
    <row r="11" ht="34" spans="1:5">
      <c r="A11" s="2" t="s">
        <v>111</v>
      </c>
      <c r="B11" s="5">
        <v>0.8227</v>
      </c>
      <c r="C11" s="5">
        <f>sector_DST_s002!J24</f>
        <v>0.763636363636364</v>
      </c>
      <c r="D11" s="5">
        <f>sector_DST_s003!J26</f>
        <v>0.807083333333333</v>
      </c>
    </row>
    <row r="12" ht="34" spans="1:5">
      <c r="A12" s="2" t="s">
        <v>112</v>
      </c>
      <c r="B12" s="3" t="str">
        <f>sector_DST_s001!J18</f>
        <v>66.00%-100.00%</v>
      </c>
      <c r="C12" s="3" t="str">
        <f>sector_DST_s002!J25</f>
        <v>59.00%-97.00%</v>
      </c>
      <c r="D12" s="3" t="str">
        <f>sector_DST_s003!J27</f>
        <v>59.00%-93.00%</v>
      </c>
    </row>
    <row r="13" ht="17" spans="1:5">
      <c r="A13" s="2" t="s">
        <v>113</v>
      </c>
      <c r="B13" s="7">
        <v>1</v>
      </c>
      <c r="C13" s="7">
        <v>1</v>
      </c>
      <c r="D13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sector_3_turns_screening</vt:lpstr>
      <vt:lpstr>sector_DST</vt:lpstr>
      <vt:lpstr>sector_data</vt:lpstr>
      <vt:lpstr>sector_DST_s003</vt:lpstr>
      <vt:lpstr>sector_3_turns_screening_s003</vt:lpstr>
      <vt:lpstr>sector_DST_s002</vt:lpstr>
      <vt:lpstr>sector_3_turns_screening_s002</vt:lpstr>
      <vt:lpstr>sector_DST_s001</vt:lpstr>
      <vt:lpstr>sector_3_turns_screening_s001</vt:lpstr>
      <vt:lpstr>Comparative Case-Representation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meimei</dc:creator>
  <cp:lastModifiedBy>WPS_1732950773</cp:lastModifiedBy>
  <dcterms:created xsi:type="dcterms:W3CDTF">2026-06-01T23:47:00Z</dcterms:created>
  <dcterms:modified xsi:type="dcterms:W3CDTF">2026-09-18T15:52:41Z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6129B71D611D473082271C6A16C7382B_43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