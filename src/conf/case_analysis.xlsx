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140" firstSheet="3" activeTab="2"/>
  </bookViews>
  <sheets>
    <sheet name="sector_stat" sheetId="1" r:id="rId1"/>
    <sheet name="sector_data" sheetId="4" r:id="rId2"/>
    <sheet name="coverage" sheetId="5" r:id="rId3"/>
    <sheet name="coverage_stat" sheetId="6" r:id="rId4"/>
    <sheet name="s001_stat" sheetId="8" r:id="rId5"/>
    <sheet name="s002_stat" sheetId="9" r:id="rId6"/>
    <sheet name="s003_stat" sheetId="10" r:id="rId7"/>
  </sheets>
  <externalReferences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<sst xmlns="http://schemas.openxmlformats.org/spreadsheetml/2006/main" count="230" uniqueCount="150">
  <si>
    <t>Case ID</t>
  </si>
  <si>
    <t>Initial KG
(Expandation by Multiple Sources)</t>
  </si>
  <si>
    <t>1st Round
(Schema Check)</t>
  </si>
  <si>
    <t>2nd Round
(FactCheck )</t>
  </si>
  <si>
    <t>3rd Round
(Entity Alignment)</t>
  </si>
  <si>
    <t>Accepted
Rate</t>
  </si>
  <si>
    <t>DST
Rate</t>
  </si>
  <si>
    <t>Entities</t>
  </si>
  <si>
    <t>Deepseek</t>
  </si>
  <si>
    <t>Gemini</t>
  </si>
  <si>
    <t>Edges</t>
  </si>
  <si>
    <t>case_id</t>
  </si>
  <si>
    <t>Initial_deepseek_nodes</t>
  </si>
  <si>
    <t>Initial_deepseek_relations</t>
  </si>
  <si>
    <t>Initial_gemini_nodes</t>
  </si>
  <si>
    <t>Initial_gemini_relations</t>
  </si>
  <si>
    <t>r1_nodes</t>
  </si>
  <si>
    <t>r1_relations</t>
  </si>
  <si>
    <t>r2_nodes</t>
  </si>
  <si>
    <t>r2_relations</t>
  </si>
  <si>
    <t>r3_nodes</t>
  </si>
  <si>
    <t>r3_relations</t>
  </si>
  <si>
    <t>node_accepted_rate</t>
  </si>
  <si>
    <t>relation_accepted_rate</t>
  </si>
  <si>
    <t>dtv_valid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</si>
  <si>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</si>
  <si>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</si>
  <si>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</si>
  <si>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</si>
  <si>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</si>
  <si>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</si>
  <si>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</si>
  <si>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</si>
  <si>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</si>
  <si>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Total Coverage</t>
  </si>
  <si>
    <t>s001 Coverage</t>
  </si>
  <si>
    <t>s002 Coverage</t>
  </si>
  <si>
    <t>s003 Coverage</t>
  </si>
  <si>
    <t>SUM</t>
  </si>
  <si>
    <t>ID</t>
  </si>
  <si>
    <t>Object</t>
  </si>
  <si>
    <t>Question</t>
  </si>
  <si>
    <t>c001</t>
  </si>
  <si>
    <t>c002</t>
  </si>
  <si>
    <t>c003</t>
  </si>
  <si>
    <t>c004</t>
  </si>
  <si>
    <t>c005</t>
  </si>
  <si>
    <t>c006</t>
  </si>
  <si>
    <t>c007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</si>
  <si>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</si>
  <si>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</si>
  <si>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</si>
  <si>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</si>
  <si>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</si>
  <si>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</si>
  <si>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</si>
  <si>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</si>
  <si>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</si>
  <si>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</si>
  <si>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</si>
  <si>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DS01Q01</t>
  </si>
  <si>
    <t>Tacit knowledge</t>
  </si>
  <si>
    <t>Which tacit knowledge is described?</t>
  </si>
  <si>
    <t>DS01Q02</t>
  </si>
  <si>
    <t>Knowledge Holder</t>
  </si>
  <si>
    <t>Which knowledge holders are described?</t>
  </si>
  <si>
    <t>DS01Q03</t>
  </si>
  <si>
    <t>Traditional Human-centred Practices</t>
  </si>
  <si>
    <t>Which traditional human-centred practices are described?</t>
  </si>
  <si>
    <t>DS01Q04</t>
  </si>
  <si>
    <t>Technology-enabled Practice</t>
  </si>
  <si>
    <t>Which technology‑enabled practices have been described?</t>
  </si>
  <si>
    <t>DS01Q05</t>
  </si>
  <si>
    <t>Digital Technology</t>
  </si>
  <si>
    <t>which emerging technologies have been described?</t>
  </si>
  <si>
    <t>DS01Q06</t>
  </si>
  <si>
    <t>Organizational Dependency</t>
  </si>
  <si>
    <t>Which internal prerequisites are stated as necessary for technology-enable practices?</t>
  </si>
  <si>
    <t>DS01Q07</t>
  </si>
  <si>
    <t>Environment Dependency</t>
  </si>
  <si>
    <t>Which external factors affect the implementation of technology-enable practices?</t>
  </si>
  <si>
    <t>DS01Q08</t>
  </si>
  <si>
    <t>Limitation</t>
  </si>
  <si>
    <t>Which limitations are been described</t>
  </si>
  <si>
    <t>DS01Q09</t>
  </si>
  <si>
    <t>be_held_by</t>
  </si>
  <si>
    <t>Which tacit knowledge knowledge holders hold?</t>
  </si>
  <si>
    <t>DS01Q10</t>
  </si>
  <si>
    <t>be_absorbed_by</t>
  </si>
  <si>
    <t>which tacit knowledge knowledge holders absorb?</t>
  </si>
  <si>
    <t>DS01Q11</t>
  </si>
  <si>
    <t>be_captured_by</t>
  </si>
  <si>
    <t>which tacit knowledge is captured by technology-enable practices?</t>
  </si>
  <si>
    <t>DS01Q12</t>
  </si>
  <si>
    <t>be_transferred_by</t>
  </si>
  <si>
    <t>Which uncodified skills, intuitions, or behavioral routines  are actively transferred via technology‑enabled practices?</t>
  </si>
  <si>
    <t>DS01Q13</t>
  </si>
  <si>
    <t>participate_in</t>
  </si>
  <si>
    <t>Which knowledge holders actively take part in knowledge retention practices?</t>
  </si>
  <si>
    <t>DS01Q14</t>
  </si>
  <si>
    <t>depend_on</t>
  </si>
  <si>
    <t>which organization or environment conditions technology-enable practices depend on?</t>
  </si>
  <si>
    <t>DS01Q15</t>
  </si>
  <si>
    <t>evaluate</t>
  </si>
  <si>
    <t>which tacit knowledge technology-enable practices evaluate?</t>
  </si>
  <si>
    <t>DS01Q16</t>
  </si>
  <si>
    <t>adopt</t>
  </si>
  <si>
    <t>Which digital technologies technology‑enabled practices adopt?</t>
  </si>
  <si>
    <t>DS01Q17</t>
  </si>
  <si>
    <t>be_constrained_by</t>
  </si>
  <si>
    <t>Which limitations technology-enable practices are constrained by?</t>
  </si>
  <si>
    <t>DS01Q18</t>
  </si>
  <si>
    <t>resolve</t>
  </si>
  <si>
    <t>Which limitations technology‑enabled practices resolve, and what evidence supports this?</t>
  </si>
  <si>
    <t>DS01Q19</t>
  </si>
  <si>
    <t>mitigate</t>
  </si>
  <si>
    <t>Which limitations technology‑enabled practices mitigate?</t>
  </si>
  <si>
    <t>DS01Q20</t>
  </si>
  <si>
    <t>complement</t>
  </si>
  <si>
    <t>Which traditional human-central practices  technology‑enabled practices complement?</t>
  </si>
  <si>
    <t>DS01Q21</t>
  </si>
  <si>
    <t>cannot_fully_replace</t>
  </si>
  <si>
    <t>Which traditional human-central practice technology-enable practice cannot replace fully?</t>
  </si>
  <si>
    <t>DS01Q22</t>
  </si>
  <si>
    <t>be_difficult_to_capture_due_to</t>
  </si>
  <si>
    <t>Which limitations make tacit knowledge difficult to capture?</t>
  </si>
  <si>
    <t>DS02Q01</t>
  </si>
  <si>
    <t>RQ1: What emerging technologies are adopted and how they support tacit knowledge capture and retention?</t>
  </si>
  <si>
    <t>What's the mechanism of each technology-enable practice? introduce this from relations among knowledge holders, tacit knowledge, digital technology, organizational dependency, resource dependency, and limitation perspectives.</t>
  </si>
  <si>
    <t>DS02Q02</t>
  </si>
  <si>
    <t>What's the mechanism of each traditional human-central practice? introduce this from relations among knowledge holders, tacit knowledge, organizational dependency, resource dependency, and limitation perspectives.</t>
  </si>
  <si>
    <t>DS03Q01</t>
  </si>
  <si>
    <t>RQ2: What resources and capabilities are required, such as data input, expert participation, technical infrastructure, and organizational resources?</t>
  </si>
  <si>
    <t>Which tangible organizational asset is required for the technology-enabled practices?</t>
  </si>
  <si>
    <t>DS03Q02</t>
  </si>
  <si>
    <t>Which external environment condition is required for the technology-enabled practices?</t>
  </si>
  <si>
    <t>DS04Q01</t>
  </si>
  <si>
    <t>RQ3: How organizational culture influence effectiveness, such as culture, trust, leadership support, motivation, and expert participation?</t>
  </si>
  <si>
    <t>Whether organization dependency like incentive or reward was used to encourage knowledge holders to actively participate in technology-enable practices?</t>
  </si>
  <si>
    <t>DS04Q02</t>
  </si>
  <si>
    <t>Whether organization dependency like trust or safety climate was used to encourage knowledge holders to actively participate in technology-enable practices?</t>
  </si>
  <si>
    <t>DS05Q01</t>
  </si>
  <si>
    <t>What inherent vulnerability, shortcoming, or failure points the knowledge retention practices face?</t>
  </si>
  <si>
    <t>What inherent vulnerability, shortcoming, or failure point of  the traditional human-central practices?</t>
  </si>
  <si>
    <t>DS05Q02</t>
  </si>
  <si>
    <t>What inherent vulnerability, shortcoming, or failure point of  the technology-enabled practices?</t>
  </si>
  <si>
    <t>DS05Q03</t>
  </si>
  <si>
    <t>Which limitations the technology-enabled practices resolve or at least mitigate the traditional human-central practices have faced?</t>
  </si>
  <si>
    <t>nodes</t>
  </si>
  <si>
    <t>relations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</si>
</sst>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000000"/>
      <name val="Times New Roman Bold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3" applyNumberFormat="0" applyFill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5" applyNumberFormat="0" applyAlignment="0" applyProtection="0">
      <alignment vertical="center"/>
    </xf>
    <xf numFmtId="0" fontId="13" fillId="6" borderId="16" applyNumberFormat="0" applyAlignment="0" applyProtection="0">
      <alignment vertical="center"/>
    </xf>
    <xf numFmtId="0" fontId="14" fillId="6" borderId="15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top" wrapText="1"/>
    </xf>
    <xf numFmtId="0" fontId="2" fillId="3" borderId="5" xfId="0" applyFont="1" applyFill="1" applyBorder="1" applyAlignment="1">
      <alignment horizontal="center" vertical="top" wrapText="1"/>
    </xf>
    <xf numFmtId="0" fontId="2" fillId="3" borderId="6" xfId="0" applyFont="1" applyFill="1" applyBorder="1" applyAlignment="1">
      <alignment horizontal="center" vertical="top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justify" vertical="top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9" fontId="3" fillId="3" borderId="8" xfId="0" applyNumberFormat="1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3" fillId="3" borderId="11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imei/work/coding/dissertation/src/data/graph/case_study/case_7_stat/s001_stat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imei/work/coding/dissertation/src/data/graph/case_study/case_7_stat/s002_stat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imei/work/coding/dissertation/src/data/graph/case_study/case_7_stat/s003_stat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001_stat"/>
    </sheetNames>
    <sheetDataSet>
      <sheetData sheetId="0">
        <row r="1">
          <cell r="A1" t="str">
            <v>case_id</v>
          </cell>
          <cell r="B1" t="str">
            <v>Initial_deepseek_nodes</v>
          </cell>
          <cell r="C1" t="str">
            <v>Initial_deepseek_relations</v>
          </cell>
          <cell r="D1" t="str">
            <v>Initial_gemini_nodes</v>
          </cell>
          <cell r="E1" t="str">
            <v>Initial_gemini_relations</v>
          </cell>
          <cell r="F1" t="str">
            <v>r1_nodes</v>
          </cell>
          <cell r="G1" t="str">
            <v>r1_relations</v>
          </cell>
          <cell r="H1" t="str">
            <v>r2_nodes</v>
          </cell>
          <cell r="I1" t="str">
            <v>r2_relations</v>
          </cell>
          <cell r="J1" t="str">
            <v>r3_nodes</v>
          </cell>
          <cell r="K1" t="str">
            <v>r3_relations</v>
          </cell>
          <cell r="L1" t="str">
            <v>node_accepted_rate</v>
          </cell>
          <cell r="M1" t="str">
            <v>relation_accepted_rate</v>
          </cell>
          <cell r="N1" t="str">
            <v>dtv_valid</v>
          </cell>
        </row>
        <row r="2">
          <cell r="A2" t="str">
            <v>c001</v>
          </cell>
          <cell r="B2">
            <v>39</v>
          </cell>
          <cell r="C2">
            <v>46</v>
          </cell>
          <cell r="D2">
            <v>15</v>
          </cell>
          <cell r="E2">
            <v>30</v>
          </cell>
          <cell r="F2">
            <v>48</v>
          </cell>
          <cell r="G2">
            <v>74</v>
          </cell>
          <cell r="H2">
            <v>47</v>
          </cell>
          <cell r="I2">
            <v>63</v>
          </cell>
          <cell r="J2">
            <v>37</v>
          </cell>
          <cell r="K2">
            <v>56</v>
          </cell>
          <cell r="L2">
            <v>0.69</v>
          </cell>
          <cell r="M2">
            <v>0.74</v>
          </cell>
          <cell r="N2">
            <v>0.68</v>
          </cell>
        </row>
        <row r="3">
          <cell r="A3" t="str">
            <v>c002</v>
          </cell>
          <cell r="B3">
            <v>28</v>
          </cell>
          <cell r="C3">
            <v>25</v>
          </cell>
          <cell r="D3">
            <v>24</v>
          </cell>
          <cell r="E3">
            <v>32</v>
          </cell>
          <cell r="F3">
            <v>52</v>
          </cell>
          <cell r="G3">
            <v>56</v>
          </cell>
          <cell r="H3">
            <v>51</v>
          </cell>
          <cell r="I3">
            <v>48</v>
          </cell>
          <cell r="J3">
            <v>45</v>
          </cell>
          <cell r="K3">
            <v>48</v>
          </cell>
          <cell r="L3">
            <v>0.87</v>
          </cell>
          <cell r="M3">
            <v>0.84</v>
          </cell>
          <cell r="N3">
            <v>0.68</v>
          </cell>
        </row>
        <row r="4">
          <cell r="A4" t="str">
            <v>c003</v>
          </cell>
          <cell r="B4">
            <v>23</v>
          </cell>
          <cell r="C4">
            <v>39</v>
          </cell>
          <cell r="D4">
            <v>16</v>
          </cell>
          <cell r="E4">
            <v>27</v>
          </cell>
          <cell r="F4">
            <v>36</v>
          </cell>
          <cell r="G4">
            <v>62</v>
          </cell>
          <cell r="H4">
            <v>32</v>
          </cell>
          <cell r="I4">
            <v>38</v>
          </cell>
          <cell r="J4">
            <v>30</v>
          </cell>
          <cell r="K4">
            <v>38</v>
          </cell>
          <cell r="L4">
            <v>0.77</v>
          </cell>
          <cell r="M4">
            <v>0.58</v>
          </cell>
          <cell r="N4">
            <v>0.58</v>
          </cell>
        </row>
        <row r="5">
          <cell r="A5" t="str">
            <v>c004</v>
          </cell>
          <cell r="B5">
            <v>42</v>
          </cell>
          <cell r="C5">
            <v>43</v>
          </cell>
          <cell r="D5">
            <v>30</v>
          </cell>
          <cell r="E5">
            <v>36</v>
          </cell>
          <cell r="F5">
            <v>65</v>
          </cell>
          <cell r="G5">
            <v>69</v>
          </cell>
          <cell r="H5">
            <v>64</v>
          </cell>
          <cell r="I5">
            <v>61</v>
          </cell>
          <cell r="J5">
            <v>60</v>
          </cell>
          <cell r="K5">
            <v>61</v>
          </cell>
          <cell r="L5">
            <v>0.83</v>
          </cell>
          <cell r="M5">
            <v>0.77</v>
          </cell>
          <cell r="N5">
            <v>0.48</v>
          </cell>
        </row>
        <row r="6">
          <cell r="A6" t="str">
            <v>c005</v>
          </cell>
          <cell r="B6">
            <v>33</v>
          </cell>
          <cell r="C6">
            <v>40</v>
          </cell>
          <cell r="D6">
            <v>21</v>
          </cell>
          <cell r="E6">
            <v>25</v>
          </cell>
          <cell r="F6">
            <v>49</v>
          </cell>
          <cell r="G6">
            <v>64</v>
          </cell>
          <cell r="H6">
            <v>47</v>
          </cell>
          <cell r="I6">
            <v>55</v>
          </cell>
          <cell r="J6">
            <v>41</v>
          </cell>
          <cell r="K6">
            <v>52</v>
          </cell>
          <cell r="L6">
            <v>0.76</v>
          </cell>
          <cell r="M6">
            <v>0.8</v>
          </cell>
          <cell r="N6">
            <v>0.61</v>
          </cell>
        </row>
        <row r="7">
          <cell r="A7" t="str">
            <v>c006</v>
          </cell>
          <cell r="B7">
            <v>23</v>
          </cell>
          <cell r="C7">
            <v>27</v>
          </cell>
          <cell r="D7">
            <v>26</v>
          </cell>
          <cell r="E7">
            <v>30</v>
          </cell>
          <cell r="F7">
            <v>48</v>
          </cell>
          <cell r="G7">
            <v>54</v>
          </cell>
          <cell r="H7">
            <v>46</v>
          </cell>
          <cell r="I7">
            <v>38</v>
          </cell>
          <cell r="J7">
            <v>43</v>
          </cell>
          <cell r="K7">
            <v>37</v>
          </cell>
          <cell r="L7">
            <v>0.88</v>
          </cell>
          <cell r="M7">
            <v>0.65</v>
          </cell>
          <cell r="N7">
            <v>0.52</v>
          </cell>
        </row>
        <row r="8">
          <cell r="A8" t="str">
            <v>c007</v>
          </cell>
          <cell r="B8">
            <v>43</v>
          </cell>
          <cell r="C8">
            <v>38</v>
          </cell>
          <cell r="D8">
            <v>18</v>
          </cell>
          <cell r="E8">
            <v>37</v>
          </cell>
          <cell r="F8">
            <v>44</v>
          </cell>
          <cell r="G8">
            <v>75</v>
          </cell>
          <cell r="H8">
            <v>42</v>
          </cell>
          <cell r="I8">
            <v>63</v>
          </cell>
          <cell r="J8">
            <v>37</v>
          </cell>
          <cell r="K8">
            <v>62</v>
          </cell>
          <cell r="L8">
            <v>0.61</v>
          </cell>
          <cell r="M8">
            <v>0.83</v>
          </cell>
          <cell r="N8">
            <v>0.58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002_stat"/>
    </sheetNames>
    <sheetDataSet>
      <sheetData sheetId="0">
        <row r="1">
          <cell r="A1" t="str">
            <v>case_id</v>
          </cell>
          <cell r="B1" t="str">
            <v>Initial_deepseek_nodes</v>
          </cell>
          <cell r="C1" t="str">
            <v>Initial_deepseek_relations</v>
          </cell>
          <cell r="D1" t="str">
            <v>Initial_gemini_nodes</v>
          </cell>
          <cell r="E1" t="str">
            <v>Initial_gemini_relations</v>
          </cell>
          <cell r="F1" t="str">
            <v>r1_nodes</v>
          </cell>
          <cell r="G1" t="str">
            <v>r1_relations</v>
          </cell>
          <cell r="H1" t="str">
            <v>r2_nodes</v>
          </cell>
          <cell r="I1" t="str">
            <v>r2_relations</v>
          </cell>
          <cell r="J1" t="str">
            <v>r3_nodes</v>
          </cell>
          <cell r="K1" t="str">
            <v>r3_relations</v>
          </cell>
          <cell r="L1" t="str">
            <v>node_accepted_rate</v>
          </cell>
          <cell r="M1" t="str">
            <v>relation_accepted_rate</v>
          </cell>
          <cell r="N1" t="str">
            <v>dtv_valid</v>
          </cell>
        </row>
        <row r="2">
          <cell r="A2" t="str">
            <v>c101</v>
          </cell>
          <cell r="B2">
            <v>24</v>
          </cell>
          <cell r="C2">
            <v>59</v>
          </cell>
          <cell r="D2">
            <v>22</v>
          </cell>
          <cell r="E2">
            <v>25</v>
          </cell>
          <cell r="F2">
            <v>46</v>
          </cell>
          <cell r="G2">
            <v>65</v>
          </cell>
          <cell r="H2">
            <v>46</v>
          </cell>
          <cell r="I2">
            <v>58</v>
          </cell>
          <cell r="J2">
            <v>36</v>
          </cell>
          <cell r="K2">
            <v>58</v>
          </cell>
          <cell r="L2">
            <v>0.78</v>
          </cell>
          <cell r="M2">
            <v>0.69</v>
          </cell>
          <cell r="N2">
            <v>0.55</v>
          </cell>
        </row>
        <row r="3">
          <cell r="A3" t="str">
            <v>c102</v>
          </cell>
          <cell r="B3">
            <v>45</v>
          </cell>
          <cell r="C3">
            <v>71</v>
          </cell>
          <cell r="D3">
            <v>15</v>
          </cell>
          <cell r="E3">
            <v>24</v>
          </cell>
          <cell r="F3">
            <v>56</v>
          </cell>
          <cell r="G3">
            <v>90</v>
          </cell>
          <cell r="H3">
            <v>53</v>
          </cell>
          <cell r="I3">
            <v>67</v>
          </cell>
          <cell r="J3">
            <v>51</v>
          </cell>
          <cell r="K3">
            <v>67</v>
          </cell>
          <cell r="L3">
            <v>0.85</v>
          </cell>
          <cell r="M3">
            <v>0.71</v>
          </cell>
          <cell r="N3">
            <v>0.61</v>
          </cell>
        </row>
        <row r="4">
          <cell r="A4" t="str">
            <v>c103</v>
          </cell>
          <cell r="B4">
            <v>51</v>
          </cell>
          <cell r="C4">
            <v>64</v>
          </cell>
          <cell r="D4">
            <v>27</v>
          </cell>
          <cell r="E4">
            <v>34</v>
          </cell>
          <cell r="F4">
            <v>71</v>
          </cell>
          <cell r="G4">
            <v>90</v>
          </cell>
          <cell r="H4">
            <v>68</v>
          </cell>
          <cell r="I4">
            <v>77</v>
          </cell>
          <cell r="J4">
            <v>53</v>
          </cell>
          <cell r="K4">
            <v>74</v>
          </cell>
          <cell r="L4">
            <v>0.68</v>
          </cell>
          <cell r="M4">
            <v>0.76</v>
          </cell>
          <cell r="N4">
            <v>0.48</v>
          </cell>
        </row>
        <row r="5">
          <cell r="A5" t="str">
            <v>c104</v>
          </cell>
          <cell r="B5">
            <v>42</v>
          </cell>
          <cell r="C5">
            <v>59</v>
          </cell>
          <cell r="D5">
            <v>21</v>
          </cell>
          <cell r="E5">
            <v>31</v>
          </cell>
          <cell r="F5">
            <v>56</v>
          </cell>
          <cell r="G5">
            <v>90</v>
          </cell>
          <cell r="H5">
            <v>48</v>
          </cell>
          <cell r="I5">
            <v>59</v>
          </cell>
          <cell r="J5">
            <v>39</v>
          </cell>
          <cell r="K5">
            <v>47</v>
          </cell>
          <cell r="L5">
            <v>0.62</v>
          </cell>
          <cell r="M5">
            <v>0.52</v>
          </cell>
          <cell r="N5">
            <v>0.68</v>
          </cell>
        </row>
        <row r="6">
          <cell r="A6" t="str">
            <v>c105</v>
          </cell>
          <cell r="B6">
            <v>33</v>
          </cell>
          <cell r="C6">
            <v>51</v>
          </cell>
          <cell r="D6">
            <v>12</v>
          </cell>
          <cell r="E6">
            <v>15</v>
          </cell>
          <cell r="F6">
            <v>44</v>
          </cell>
          <cell r="G6">
            <v>64</v>
          </cell>
          <cell r="H6">
            <v>39</v>
          </cell>
          <cell r="I6">
            <v>51</v>
          </cell>
          <cell r="J6">
            <v>30</v>
          </cell>
          <cell r="K6">
            <v>47</v>
          </cell>
          <cell r="L6">
            <v>0.67</v>
          </cell>
          <cell r="M6">
            <v>0.71</v>
          </cell>
          <cell r="N6">
            <v>0.52</v>
          </cell>
        </row>
        <row r="7">
          <cell r="A7" t="str">
            <v>c106</v>
          </cell>
          <cell r="B7">
            <v>0</v>
          </cell>
          <cell r="C7">
            <v>0</v>
          </cell>
          <cell r="D7">
            <v>26</v>
          </cell>
          <cell r="E7">
            <v>27</v>
          </cell>
          <cell r="F7">
            <v>26</v>
          </cell>
          <cell r="G7">
            <v>23</v>
          </cell>
          <cell r="H7">
            <v>24</v>
          </cell>
          <cell r="I7">
            <v>19</v>
          </cell>
          <cell r="J7">
            <v>24</v>
          </cell>
          <cell r="K7">
            <v>19</v>
          </cell>
          <cell r="L7">
            <v>0.92</v>
          </cell>
          <cell r="M7">
            <v>0.7</v>
          </cell>
          <cell r="N7">
            <v>0.52</v>
          </cell>
        </row>
        <row r="8">
          <cell r="A8" t="str">
            <v>c107</v>
          </cell>
          <cell r="B8">
            <v>44</v>
          </cell>
          <cell r="C8">
            <v>46</v>
          </cell>
          <cell r="D8">
            <v>23</v>
          </cell>
          <cell r="E8">
            <v>32</v>
          </cell>
          <cell r="F8">
            <v>47</v>
          </cell>
          <cell r="G8">
            <v>46</v>
          </cell>
          <cell r="H8">
            <v>45</v>
          </cell>
          <cell r="I8">
            <v>40</v>
          </cell>
          <cell r="J8">
            <v>42</v>
          </cell>
          <cell r="K8">
            <v>35</v>
          </cell>
          <cell r="L8">
            <v>0.63</v>
          </cell>
          <cell r="M8">
            <v>0.45</v>
          </cell>
          <cell r="N8">
            <v>0.61</v>
          </cell>
        </row>
        <row r="9">
          <cell r="A9" t="str">
            <v>c108</v>
          </cell>
          <cell r="B9">
            <v>42</v>
          </cell>
          <cell r="C9">
            <v>49</v>
          </cell>
          <cell r="D9">
            <v>19</v>
          </cell>
          <cell r="E9">
            <v>28</v>
          </cell>
          <cell r="F9">
            <v>57</v>
          </cell>
          <cell r="G9">
            <v>71</v>
          </cell>
          <cell r="H9">
            <v>52</v>
          </cell>
          <cell r="I9">
            <v>57</v>
          </cell>
          <cell r="J9">
            <v>40</v>
          </cell>
          <cell r="K9">
            <v>48</v>
          </cell>
          <cell r="L9">
            <v>0.66</v>
          </cell>
          <cell r="M9">
            <v>0.62</v>
          </cell>
          <cell r="N9">
            <v>0.52</v>
          </cell>
        </row>
        <row r="10">
          <cell r="A10" t="str">
            <v>c109</v>
          </cell>
          <cell r="B10">
            <v>22</v>
          </cell>
          <cell r="C10">
            <v>26</v>
          </cell>
          <cell r="D10">
            <v>12</v>
          </cell>
          <cell r="E10">
            <v>15</v>
          </cell>
          <cell r="F10">
            <v>34</v>
          </cell>
          <cell r="G10">
            <v>40</v>
          </cell>
          <cell r="H10">
            <v>31</v>
          </cell>
          <cell r="I10">
            <v>34</v>
          </cell>
          <cell r="J10">
            <v>25</v>
          </cell>
          <cell r="K10">
            <v>29</v>
          </cell>
          <cell r="L10">
            <v>0.74</v>
          </cell>
          <cell r="M10">
            <v>0.71</v>
          </cell>
          <cell r="N10">
            <v>0.55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003_stat"/>
    </sheetNames>
    <sheetDataSet>
      <sheetData sheetId="0">
        <row r="1">
          <cell r="A1" t="str">
            <v>case_id</v>
          </cell>
          <cell r="B1" t="str">
            <v>Initial_deepseek_nodes</v>
          </cell>
          <cell r="C1" t="str">
            <v>Initial_deepseek_relations</v>
          </cell>
          <cell r="D1" t="str">
            <v>Initial_gemini_nodes</v>
          </cell>
          <cell r="E1" t="str">
            <v>Initial_gemini_relations</v>
          </cell>
          <cell r="F1" t="str">
            <v>r1_nodes</v>
          </cell>
          <cell r="G1" t="str">
            <v>r1_relations</v>
          </cell>
          <cell r="H1" t="str">
            <v>r2_nodes</v>
          </cell>
          <cell r="I1" t="str">
            <v>r2_relations</v>
          </cell>
          <cell r="J1" t="str">
            <v>r3_nodes</v>
          </cell>
          <cell r="K1" t="str">
            <v>r3_relations</v>
          </cell>
          <cell r="L1" t="str">
            <v>node_accepted_rate</v>
          </cell>
          <cell r="M1" t="str">
            <v>relation_accepted_rate</v>
          </cell>
          <cell r="N1" t="str">
            <v>dtv_valid</v>
          </cell>
        </row>
        <row r="2">
          <cell r="A2" t="str">
            <v>c201</v>
          </cell>
          <cell r="B2">
            <v>37</v>
          </cell>
          <cell r="C2">
            <v>44</v>
          </cell>
          <cell r="D2">
            <v>26</v>
          </cell>
          <cell r="E2">
            <v>26</v>
          </cell>
          <cell r="F2">
            <v>56</v>
          </cell>
          <cell r="G2">
            <v>69</v>
          </cell>
          <cell r="H2">
            <v>53</v>
          </cell>
          <cell r="I2">
            <v>62</v>
          </cell>
          <cell r="J2">
            <v>39</v>
          </cell>
          <cell r="K2">
            <v>58</v>
          </cell>
          <cell r="L2">
            <v>0.62</v>
          </cell>
          <cell r="M2">
            <v>0.83</v>
          </cell>
          <cell r="N2">
            <v>0.52</v>
          </cell>
        </row>
        <row r="3">
          <cell r="A3" t="str">
            <v>c202</v>
          </cell>
          <cell r="B3">
            <v>21</v>
          </cell>
          <cell r="C3">
            <v>36</v>
          </cell>
          <cell r="D3">
            <v>24</v>
          </cell>
          <cell r="E3">
            <v>36</v>
          </cell>
          <cell r="F3">
            <v>44</v>
          </cell>
          <cell r="G3">
            <v>72</v>
          </cell>
          <cell r="H3">
            <v>41</v>
          </cell>
          <cell r="I3">
            <v>56</v>
          </cell>
          <cell r="J3">
            <v>35</v>
          </cell>
          <cell r="K3">
            <v>56</v>
          </cell>
          <cell r="L3">
            <v>0.78</v>
          </cell>
          <cell r="M3">
            <v>0.78</v>
          </cell>
          <cell r="N3">
            <v>0.45</v>
          </cell>
        </row>
        <row r="4">
          <cell r="A4" t="str">
            <v>c203</v>
          </cell>
          <cell r="B4">
            <v>18</v>
          </cell>
          <cell r="C4">
            <v>20</v>
          </cell>
          <cell r="D4">
            <v>22</v>
          </cell>
          <cell r="E4">
            <v>27</v>
          </cell>
          <cell r="F4">
            <v>36</v>
          </cell>
          <cell r="G4">
            <v>40</v>
          </cell>
          <cell r="H4">
            <v>36</v>
          </cell>
          <cell r="I4">
            <v>40</v>
          </cell>
          <cell r="J4">
            <v>34</v>
          </cell>
          <cell r="K4">
            <v>40</v>
          </cell>
          <cell r="L4">
            <v>0.85</v>
          </cell>
          <cell r="M4">
            <v>0.85</v>
          </cell>
          <cell r="N4">
            <v>0.65</v>
          </cell>
        </row>
        <row r="5">
          <cell r="A5" t="str">
            <v>c204</v>
          </cell>
          <cell r="B5">
            <v>0</v>
          </cell>
          <cell r="C5">
            <v>0</v>
          </cell>
          <cell r="D5">
            <v>23</v>
          </cell>
          <cell r="E5">
            <v>30</v>
          </cell>
          <cell r="F5">
            <v>23</v>
          </cell>
          <cell r="G5">
            <v>28</v>
          </cell>
          <cell r="H5">
            <v>22</v>
          </cell>
          <cell r="I5">
            <v>19</v>
          </cell>
          <cell r="J5">
            <v>22</v>
          </cell>
          <cell r="K5">
            <v>19</v>
          </cell>
          <cell r="L5">
            <v>0.96</v>
          </cell>
          <cell r="M5">
            <v>0.63</v>
          </cell>
          <cell r="N5">
            <v>0.52</v>
          </cell>
        </row>
        <row r="6">
          <cell r="A6" t="str">
            <v>c205</v>
          </cell>
          <cell r="B6">
            <v>43</v>
          </cell>
          <cell r="C6">
            <v>52</v>
          </cell>
          <cell r="D6">
            <v>15</v>
          </cell>
          <cell r="E6">
            <v>16</v>
          </cell>
          <cell r="F6">
            <v>48</v>
          </cell>
          <cell r="G6">
            <v>53</v>
          </cell>
          <cell r="H6">
            <v>46</v>
          </cell>
          <cell r="I6">
            <v>41</v>
          </cell>
          <cell r="J6">
            <v>45</v>
          </cell>
          <cell r="K6">
            <v>41</v>
          </cell>
          <cell r="L6">
            <v>0.78</v>
          </cell>
          <cell r="M6">
            <v>0.6</v>
          </cell>
          <cell r="N6">
            <v>0.48</v>
          </cell>
        </row>
        <row r="7">
          <cell r="A7" t="str">
            <v>c206</v>
          </cell>
          <cell r="B7">
            <v>29</v>
          </cell>
          <cell r="C7">
            <v>46</v>
          </cell>
          <cell r="D7">
            <v>18</v>
          </cell>
          <cell r="E7">
            <v>24</v>
          </cell>
          <cell r="F7">
            <v>41</v>
          </cell>
          <cell r="G7">
            <v>70</v>
          </cell>
          <cell r="H7">
            <v>41</v>
          </cell>
          <cell r="I7">
            <v>59</v>
          </cell>
          <cell r="J7">
            <v>30</v>
          </cell>
          <cell r="K7">
            <v>53</v>
          </cell>
          <cell r="L7">
            <v>0.64</v>
          </cell>
          <cell r="M7">
            <v>0.76</v>
          </cell>
          <cell r="N7">
            <v>0.55</v>
          </cell>
        </row>
        <row r="8">
          <cell r="A8" t="str">
            <v>c207</v>
          </cell>
          <cell r="B8">
            <v>22</v>
          </cell>
          <cell r="C8">
            <v>47</v>
          </cell>
          <cell r="D8">
            <v>26</v>
          </cell>
          <cell r="E8">
            <v>28</v>
          </cell>
          <cell r="F8">
            <v>43</v>
          </cell>
          <cell r="G8">
            <v>32</v>
          </cell>
          <cell r="H8">
            <v>40</v>
          </cell>
          <cell r="I8">
            <v>22</v>
          </cell>
          <cell r="J8">
            <v>32</v>
          </cell>
          <cell r="K8">
            <v>22</v>
          </cell>
          <cell r="L8">
            <v>0.67</v>
          </cell>
          <cell r="M8">
            <v>0.29</v>
          </cell>
          <cell r="N8">
            <v>0.52</v>
          </cell>
        </row>
        <row r="9">
          <cell r="A9" t="str">
            <v>c208</v>
          </cell>
          <cell r="B9">
            <v>16</v>
          </cell>
          <cell r="C9">
            <v>25</v>
          </cell>
          <cell r="D9">
            <v>23</v>
          </cell>
          <cell r="E9">
            <v>28</v>
          </cell>
          <cell r="F9">
            <v>39</v>
          </cell>
          <cell r="G9">
            <v>21</v>
          </cell>
          <cell r="H9">
            <v>36</v>
          </cell>
          <cell r="I9">
            <v>16</v>
          </cell>
          <cell r="J9">
            <v>30</v>
          </cell>
          <cell r="K9">
            <v>15</v>
          </cell>
          <cell r="L9">
            <v>0.77</v>
          </cell>
          <cell r="M9">
            <v>0.28</v>
          </cell>
          <cell r="N9">
            <v>0.39</v>
          </cell>
        </row>
        <row r="10">
          <cell r="A10" t="str">
            <v>c209</v>
          </cell>
          <cell r="B10">
            <v>36</v>
          </cell>
          <cell r="C10">
            <v>51</v>
          </cell>
          <cell r="D10">
            <v>26</v>
          </cell>
          <cell r="E10">
            <v>34</v>
          </cell>
          <cell r="F10">
            <v>60</v>
          </cell>
          <cell r="G10">
            <v>78</v>
          </cell>
          <cell r="H10">
            <v>55</v>
          </cell>
          <cell r="I10">
            <v>55</v>
          </cell>
          <cell r="J10">
            <v>44</v>
          </cell>
          <cell r="K10">
            <v>49</v>
          </cell>
          <cell r="L10">
            <v>0.71</v>
          </cell>
          <cell r="M10">
            <v>0.58</v>
          </cell>
          <cell r="N10">
            <v>0.52</v>
          </cell>
        </row>
        <row r="11">
          <cell r="A11" t="str">
            <v>c210</v>
          </cell>
          <cell r="B11">
            <v>22</v>
          </cell>
          <cell r="C11">
            <v>23</v>
          </cell>
          <cell r="D11">
            <v>19</v>
          </cell>
          <cell r="E11">
            <v>21</v>
          </cell>
          <cell r="F11">
            <v>36</v>
          </cell>
          <cell r="G11">
            <v>21</v>
          </cell>
          <cell r="H11">
            <v>33</v>
          </cell>
          <cell r="I11">
            <v>19</v>
          </cell>
          <cell r="J11">
            <v>24</v>
          </cell>
          <cell r="K11">
            <v>19</v>
          </cell>
          <cell r="L11">
            <v>0.59</v>
          </cell>
          <cell r="M11">
            <v>0.43</v>
          </cell>
          <cell r="N11">
            <v>0.39</v>
          </cell>
        </row>
        <row r="12">
          <cell r="A12" t="str">
            <v>c211</v>
          </cell>
          <cell r="B12">
            <v>27</v>
          </cell>
          <cell r="C12">
            <v>35</v>
          </cell>
          <cell r="D12">
            <v>18</v>
          </cell>
          <cell r="E12">
            <v>20</v>
          </cell>
          <cell r="F12">
            <v>43</v>
          </cell>
          <cell r="G12">
            <v>53</v>
          </cell>
          <cell r="H12">
            <v>37</v>
          </cell>
          <cell r="I12">
            <v>32</v>
          </cell>
          <cell r="J12">
            <v>32</v>
          </cell>
          <cell r="K12">
            <v>32</v>
          </cell>
          <cell r="L12">
            <v>0.71</v>
          </cell>
          <cell r="M12">
            <v>0.58</v>
          </cell>
          <cell r="N12">
            <v>0.61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6"/>
  <sheetViews>
    <sheetView zoomScale="76" zoomScaleNormal="76" topLeftCell="A13" workbookViewId="0">
      <selection activeCell="L41" sqref="L41"/>
    </sheetView>
  </sheetViews>
  <sheetFormatPr defaultColWidth="9" defaultRowHeight="16.8"/>
  <cols>
    <col min="5" max="5" width="11.7109375" customWidth="1"/>
    <col min="6" max="6" width="19.7890625" customWidth="1"/>
    <col min="7" max="7" width="19.140625" customWidth="1"/>
    <col min="8" max="8" width="17.46875" customWidth="1"/>
    <col min="9" max="9" width="9.421875" customWidth="1"/>
    <col min="10" max="10" width="11.8203125" customWidth="1"/>
  </cols>
  <sheetData>
    <row r="1" ht="17.55"/>
    <row r="2" ht="34" customHeight="1" spans="2:10">
      <c r="B2" s="19" t="s">
        <v>0</v>
      </c>
      <c r="C2" s="20" t="s">
        <v>1</v>
      </c>
      <c r="D2" s="21"/>
      <c r="E2" s="22"/>
      <c r="F2" s="22" t="s">
        <v>2</v>
      </c>
      <c r="G2" s="22" t="s">
        <v>3</v>
      </c>
      <c r="H2" s="22" t="s">
        <v>4</v>
      </c>
      <c r="I2" s="22" t="s">
        <v>5</v>
      </c>
      <c r="J2" s="22" t="s">
        <v>6</v>
      </c>
    </row>
    <row r="3" ht="17.75" spans="2:10">
      <c r="B3" s="23" t="str">
        <f>sector_data!A2</f>
        <v>c101</v>
      </c>
      <c r="C3" s="24" t="s">
        <v>7</v>
      </c>
      <c r="D3" s="25" t="s">
        <v>8</v>
      </c>
      <c r="E3" s="26">
        <f>sector_data!B2</f>
        <v>24</v>
      </c>
      <c r="F3" s="27">
        <f>sector_data!F2</f>
        <v>46</v>
      </c>
      <c r="G3" s="27">
        <f>sector_data!H2</f>
        <v>46</v>
      </c>
      <c r="H3" s="27">
        <f>sector_data!J2</f>
        <v>36</v>
      </c>
      <c r="I3" s="27">
        <f>sector_data!L2</f>
        <v>0.78</v>
      </c>
      <c r="J3" s="28">
        <f>sector_data!N2</f>
        <v>0.55</v>
      </c>
    </row>
    <row r="4" ht="17.75" spans="2:10">
      <c r="B4" s="29"/>
      <c r="C4" s="30"/>
      <c r="D4" s="25" t="s">
        <v>9</v>
      </c>
      <c r="E4" s="26">
        <f>sector_data!D2</f>
        <v>22</v>
      </c>
      <c r="F4" s="26"/>
      <c r="G4" s="26"/>
      <c r="H4" s="26"/>
      <c r="I4" s="26"/>
      <c r="J4" s="27"/>
    </row>
    <row r="5" ht="17.75" spans="2:10">
      <c r="B5" s="29"/>
      <c r="C5" s="24" t="s">
        <v>10</v>
      </c>
      <c r="D5" s="25" t="s">
        <v>8</v>
      </c>
      <c r="E5" s="26">
        <f>sector_data!C2</f>
        <v>59</v>
      </c>
      <c r="F5" s="27">
        <f>sector_data!G2</f>
        <v>65</v>
      </c>
      <c r="G5" s="27">
        <f>sector_data!I2</f>
        <v>58</v>
      </c>
      <c r="H5" s="27">
        <f>sector_data!K2</f>
        <v>58</v>
      </c>
      <c r="I5" s="27">
        <f>sector_data!M2</f>
        <v>0.69</v>
      </c>
      <c r="J5" s="27"/>
    </row>
    <row r="6" ht="17.75" spans="2:10">
      <c r="B6" s="31"/>
      <c r="C6" s="30"/>
      <c r="D6" s="25" t="s">
        <v>9</v>
      </c>
      <c r="E6" s="26">
        <f>sector_data!E2</f>
        <v>25</v>
      </c>
      <c r="F6" s="26"/>
      <c r="G6" s="26"/>
      <c r="H6" s="26"/>
      <c r="I6" s="26"/>
      <c r="J6" s="26"/>
    </row>
    <row r="7" ht="17.75" spans="2:10">
      <c r="B7" s="29" t="str">
        <f>sector_data!A3</f>
        <v>c102</v>
      </c>
      <c r="C7" s="24" t="s">
        <v>7</v>
      </c>
      <c r="D7" s="25" t="s">
        <v>8</v>
      </c>
      <c r="E7" s="26">
        <f>sector_data!B3</f>
        <v>45</v>
      </c>
      <c r="F7" s="27">
        <f>sector_data!F3</f>
        <v>56</v>
      </c>
      <c r="G7" s="27">
        <f>sector_data!H3</f>
        <v>53</v>
      </c>
      <c r="H7" s="27">
        <f>sector_data!J3</f>
        <v>51</v>
      </c>
      <c r="I7" s="27">
        <f>sector_data!L3</f>
        <v>0.85</v>
      </c>
      <c r="J7" s="28">
        <f>sector_data!N3</f>
        <v>0.61</v>
      </c>
    </row>
    <row r="8" ht="17.75" spans="2:10">
      <c r="B8" s="29"/>
      <c r="C8" s="30"/>
      <c r="D8" s="25" t="s">
        <v>9</v>
      </c>
      <c r="E8" s="26">
        <f>sector_data!D3</f>
        <v>15</v>
      </c>
      <c r="F8" s="26"/>
      <c r="G8" s="26"/>
      <c r="H8" s="26"/>
      <c r="I8" s="26"/>
      <c r="J8" s="27"/>
    </row>
    <row r="9" ht="17.75" spans="2:10">
      <c r="B9" s="29"/>
      <c r="C9" s="24" t="s">
        <v>10</v>
      </c>
      <c r="D9" s="25" t="s">
        <v>8</v>
      </c>
      <c r="E9" s="26">
        <f>sector_data!C3</f>
        <v>71</v>
      </c>
      <c r="F9" s="27">
        <f>sector_data!G3</f>
        <v>90</v>
      </c>
      <c r="G9" s="27">
        <f>sector_data!I3</f>
        <v>67</v>
      </c>
      <c r="H9" s="27">
        <f>sector_data!K3</f>
        <v>67</v>
      </c>
      <c r="I9" s="27">
        <f>sector_data!M3</f>
        <v>0.71</v>
      </c>
      <c r="J9" s="27"/>
    </row>
    <row r="10" ht="17.75" spans="2:10">
      <c r="B10" s="31"/>
      <c r="C10" s="30"/>
      <c r="D10" s="25" t="s">
        <v>9</v>
      </c>
      <c r="E10" s="26">
        <f>sector_data!E3</f>
        <v>24</v>
      </c>
      <c r="F10" s="26"/>
      <c r="G10" s="26"/>
      <c r="H10" s="26"/>
      <c r="I10" s="26"/>
      <c r="J10" s="26"/>
    </row>
    <row r="11" ht="17.75" spans="2:10">
      <c r="B11" s="29" t="str">
        <f>sector_data!A4</f>
        <v>c103</v>
      </c>
      <c r="C11" s="24" t="s">
        <v>7</v>
      </c>
      <c r="D11" s="25" t="s">
        <v>8</v>
      </c>
      <c r="E11" s="26">
        <f>sector_data!B4</f>
        <v>51</v>
      </c>
      <c r="F11" s="27">
        <f>sector_data!F4</f>
        <v>71</v>
      </c>
      <c r="G11" s="27">
        <f>sector_data!H4</f>
        <v>68</v>
      </c>
      <c r="H11" s="27">
        <f>sector_data!J4</f>
        <v>53</v>
      </c>
      <c r="I11" s="27">
        <f>sector_data!L4</f>
        <v>0.68</v>
      </c>
      <c r="J11" s="28">
        <f>sector_data!N4</f>
        <v>0.48</v>
      </c>
    </row>
    <row r="12" ht="17.75" spans="2:10">
      <c r="B12" s="29"/>
      <c r="C12" s="30"/>
      <c r="D12" s="25" t="s">
        <v>9</v>
      </c>
      <c r="E12" s="26">
        <f>sector_data!D4</f>
        <v>27</v>
      </c>
      <c r="F12" s="26"/>
      <c r="G12" s="26"/>
      <c r="H12" s="26"/>
      <c r="I12" s="26"/>
      <c r="J12" s="27"/>
    </row>
    <row r="13" ht="17.75" spans="2:10">
      <c r="B13" s="29"/>
      <c r="C13" s="24" t="s">
        <v>10</v>
      </c>
      <c r="D13" s="25" t="s">
        <v>8</v>
      </c>
      <c r="E13" s="26">
        <f>sector_data!C4</f>
        <v>64</v>
      </c>
      <c r="F13" s="27">
        <f>sector_data!G4</f>
        <v>90</v>
      </c>
      <c r="G13" s="27">
        <f>sector_data!I4</f>
        <v>77</v>
      </c>
      <c r="H13" s="27">
        <f>sector_data!K4</f>
        <v>74</v>
      </c>
      <c r="I13" s="27">
        <f>sector_data!M4</f>
        <v>0.76</v>
      </c>
      <c r="J13" s="27"/>
    </row>
    <row r="14" ht="17.75" spans="2:10">
      <c r="B14" s="31"/>
      <c r="C14" s="30"/>
      <c r="D14" s="25" t="s">
        <v>9</v>
      </c>
      <c r="E14" s="26">
        <f>sector_data!E4</f>
        <v>34</v>
      </c>
      <c r="F14" s="26"/>
      <c r="G14" s="26"/>
      <c r="H14" s="26"/>
      <c r="I14" s="26"/>
      <c r="J14" s="26"/>
    </row>
    <row r="15" ht="17.75" spans="2:10">
      <c r="B15" s="29" t="str">
        <f>sector_data!A5</f>
        <v>c104</v>
      </c>
      <c r="C15" s="24" t="s">
        <v>7</v>
      </c>
      <c r="D15" s="25" t="s">
        <v>8</v>
      </c>
      <c r="E15" s="26">
        <f>sector_data!B5</f>
        <v>42</v>
      </c>
      <c r="F15" s="27">
        <f>sector_data!F5</f>
        <v>56</v>
      </c>
      <c r="G15" s="27">
        <f>sector_data!H5</f>
        <v>48</v>
      </c>
      <c r="H15" s="27">
        <f>sector_data!J5</f>
        <v>39</v>
      </c>
      <c r="I15" s="27">
        <f>sector_data!L5</f>
        <v>0.62</v>
      </c>
      <c r="J15" s="28">
        <f>sector_data!N5</f>
        <v>0.68</v>
      </c>
    </row>
    <row r="16" ht="17.75" spans="2:10">
      <c r="B16" s="29"/>
      <c r="C16" s="30"/>
      <c r="D16" s="25" t="s">
        <v>9</v>
      </c>
      <c r="E16" s="26">
        <f>sector_data!D5</f>
        <v>21</v>
      </c>
      <c r="F16" s="26"/>
      <c r="G16" s="26"/>
      <c r="H16" s="26"/>
      <c r="I16" s="26"/>
      <c r="J16" s="27"/>
    </row>
    <row r="17" ht="17.75" spans="2:10">
      <c r="B17" s="29"/>
      <c r="C17" s="24" t="s">
        <v>10</v>
      </c>
      <c r="D17" s="25" t="s">
        <v>8</v>
      </c>
      <c r="E17" s="26">
        <f>sector_data!C5</f>
        <v>59</v>
      </c>
      <c r="F17" s="27">
        <f>sector_data!G5</f>
        <v>90</v>
      </c>
      <c r="G17" s="27">
        <f>sector_data!I5</f>
        <v>59</v>
      </c>
      <c r="H17" s="27">
        <f>sector_data!K5</f>
        <v>47</v>
      </c>
      <c r="I17" s="27">
        <f>sector_data!M5</f>
        <v>0.52</v>
      </c>
      <c r="J17" s="27"/>
    </row>
    <row r="18" ht="17.75" spans="2:10">
      <c r="B18" s="31"/>
      <c r="C18" s="30"/>
      <c r="D18" s="25" t="s">
        <v>9</v>
      </c>
      <c r="E18" s="26">
        <f>sector_data!E5</f>
        <v>31</v>
      </c>
      <c r="F18" s="26"/>
      <c r="G18" s="26"/>
      <c r="H18" s="26"/>
      <c r="I18" s="26"/>
      <c r="J18" s="26"/>
    </row>
    <row r="19" ht="17.75" spans="2:10">
      <c r="B19" s="29" t="str">
        <f>sector_data!A6</f>
        <v>c105</v>
      </c>
      <c r="C19" s="24" t="s">
        <v>7</v>
      </c>
      <c r="D19" s="25" t="s">
        <v>8</v>
      </c>
      <c r="E19" s="26">
        <f>sector_data!B6</f>
        <v>33</v>
      </c>
      <c r="F19" s="27">
        <f>sector_data!F6</f>
        <v>44</v>
      </c>
      <c r="G19" s="27">
        <f>sector_data!H6</f>
        <v>39</v>
      </c>
      <c r="H19" s="27">
        <f>sector_data!J6</f>
        <v>30</v>
      </c>
      <c r="I19" s="27">
        <f>sector_data!L6</f>
        <v>0.67</v>
      </c>
      <c r="J19" s="28">
        <f>sector_data!N6</f>
        <v>0.52</v>
      </c>
    </row>
    <row r="20" ht="17.75" spans="2:10">
      <c r="B20" s="29"/>
      <c r="C20" s="30"/>
      <c r="D20" s="25" t="s">
        <v>9</v>
      </c>
      <c r="E20" s="26">
        <f>sector_data!D6</f>
        <v>12</v>
      </c>
      <c r="F20" s="26"/>
      <c r="G20" s="26"/>
      <c r="H20" s="26"/>
      <c r="I20" s="26"/>
      <c r="J20" s="27"/>
    </row>
    <row r="21" ht="17.75" spans="2:10">
      <c r="B21" s="29"/>
      <c r="C21" s="24" t="s">
        <v>10</v>
      </c>
      <c r="D21" s="25" t="s">
        <v>8</v>
      </c>
      <c r="E21" s="26">
        <f>sector_data!C6</f>
        <v>51</v>
      </c>
      <c r="F21" s="27">
        <f>sector_data!G6</f>
        <v>64</v>
      </c>
      <c r="G21" s="27">
        <f>sector_data!I6</f>
        <v>51</v>
      </c>
      <c r="H21" s="27">
        <f>sector_data!K6</f>
        <v>47</v>
      </c>
      <c r="I21" s="27">
        <f>sector_data!M6</f>
        <v>0.71</v>
      </c>
      <c r="J21" s="27"/>
    </row>
    <row r="22" ht="17.75" spans="2:10">
      <c r="B22" s="31"/>
      <c r="C22" s="30"/>
      <c r="D22" s="25" t="s">
        <v>9</v>
      </c>
      <c r="E22" s="26">
        <f>sector_data!E6</f>
        <v>15</v>
      </c>
      <c r="F22" s="26"/>
      <c r="G22" s="26"/>
      <c r="H22" s="26"/>
      <c r="I22" s="26"/>
      <c r="J22" s="26"/>
    </row>
    <row r="23" ht="17.75" spans="2:10">
      <c r="B23" s="29" t="str">
        <f>sector_data!A7</f>
        <v>c106</v>
      </c>
      <c r="C23" s="24" t="s">
        <v>7</v>
      </c>
      <c r="D23" s="25" t="s">
        <v>8</v>
      </c>
      <c r="E23" s="26">
        <f>sector_data!B7</f>
        <v>0</v>
      </c>
      <c r="F23" s="27">
        <f>sector_data!F7</f>
        <v>26</v>
      </c>
      <c r="G23" s="27">
        <f>sector_data!H7</f>
        <v>24</v>
      </c>
      <c r="H23" s="27">
        <f>sector_data!J7</f>
        <v>24</v>
      </c>
      <c r="I23" s="27">
        <f>sector_data!L7</f>
        <v>0.92</v>
      </c>
      <c r="J23" s="28">
        <f>sector_data!N7</f>
        <v>0.52</v>
      </c>
    </row>
    <row r="24" ht="17.75" spans="2:10">
      <c r="B24" s="29"/>
      <c r="C24" s="30"/>
      <c r="D24" s="25" t="s">
        <v>9</v>
      </c>
      <c r="E24" s="26">
        <f>sector_data!D7</f>
        <v>26</v>
      </c>
      <c r="F24" s="26"/>
      <c r="G24" s="26"/>
      <c r="H24" s="26"/>
      <c r="I24" s="26"/>
      <c r="J24" s="27"/>
    </row>
    <row r="25" ht="17.75" spans="2:10">
      <c r="B25" s="29"/>
      <c r="C25" s="24" t="s">
        <v>10</v>
      </c>
      <c r="D25" s="25" t="s">
        <v>8</v>
      </c>
      <c r="E25" s="26">
        <f>sector_data!C7</f>
        <v>0</v>
      </c>
      <c r="F25" s="27">
        <f>sector_data!G7</f>
        <v>23</v>
      </c>
      <c r="G25" s="27">
        <f>sector_data!I7</f>
        <v>19</v>
      </c>
      <c r="H25" s="27">
        <f>sector_data!K7</f>
        <v>19</v>
      </c>
      <c r="I25" s="27">
        <f>sector_data!M7</f>
        <v>0.7</v>
      </c>
      <c r="J25" s="27"/>
    </row>
    <row r="26" ht="17.75" spans="2:10">
      <c r="B26" s="31"/>
      <c r="C26" s="30"/>
      <c r="D26" s="25" t="s">
        <v>9</v>
      </c>
      <c r="E26" s="26">
        <f>sector_data!E7</f>
        <v>27</v>
      </c>
      <c r="F26" s="26"/>
      <c r="G26" s="26"/>
      <c r="H26" s="26"/>
      <c r="I26" s="26"/>
      <c r="J26" s="26"/>
    </row>
    <row r="27" ht="17.75" spans="2:10">
      <c r="B27" s="29" t="str">
        <f>sector_data!A8</f>
        <v>c107</v>
      </c>
      <c r="C27" s="24" t="s">
        <v>7</v>
      </c>
      <c r="D27" s="25" t="s">
        <v>8</v>
      </c>
      <c r="E27" s="26">
        <f>sector_data!B8</f>
        <v>44</v>
      </c>
      <c r="F27" s="27">
        <f>sector_data!F8</f>
        <v>47</v>
      </c>
      <c r="G27" s="27">
        <f>sector_data!H8</f>
        <v>45</v>
      </c>
      <c r="H27" s="27">
        <f>sector_data!J8</f>
        <v>42</v>
      </c>
      <c r="I27" s="27">
        <f>sector_data!L8</f>
        <v>0.63</v>
      </c>
      <c r="J27" s="28">
        <f>sector_data!N8</f>
        <v>0.61</v>
      </c>
    </row>
    <row r="28" ht="17.75" spans="2:10">
      <c r="B28" s="29"/>
      <c r="C28" s="30"/>
      <c r="D28" s="25" t="s">
        <v>9</v>
      </c>
      <c r="E28" s="26">
        <f>sector_data!D8</f>
        <v>23</v>
      </c>
      <c r="F28" s="26"/>
      <c r="G28" s="26"/>
      <c r="H28" s="26"/>
      <c r="I28" s="26"/>
      <c r="J28" s="27"/>
    </row>
    <row r="29" ht="17.75" spans="2:10">
      <c r="B29" s="29"/>
      <c r="C29" s="24" t="s">
        <v>10</v>
      </c>
      <c r="D29" s="25" t="s">
        <v>8</v>
      </c>
      <c r="E29" s="26">
        <f>sector_data!C8</f>
        <v>46</v>
      </c>
      <c r="F29" s="27">
        <f>sector_data!G8</f>
        <v>46</v>
      </c>
      <c r="G29" s="27">
        <f>sector_data!I8</f>
        <v>40</v>
      </c>
      <c r="H29" s="27">
        <f>sector_data!K8</f>
        <v>35</v>
      </c>
      <c r="I29" s="27">
        <f>sector_data!M8</f>
        <v>0.45</v>
      </c>
      <c r="J29" s="27"/>
    </row>
    <row r="30" ht="17.75" spans="2:10">
      <c r="B30" s="31"/>
      <c r="C30" s="30"/>
      <c r="D30" s="25" t="s">
        <v>9</v>
      </c>
      <c r="E30" s="26">
        <f>sector_data!E8</f>
        <v>32</v>
      </c>
      <c r="F30" s="26"/>
      <c r="G30" s="26"/>
      <c r="H30" s="26"/>
      <c r="I30" s="26"/>
      <c r="J30" s="26"/>
    </row>
    <row r="31" customFormat="1" ht="17.75" spans="2:10">
      <c r="B31" s="29" t="str">
        <f>sector_data!A9</f>
        <v>c108</v>
      </c>
      <c r="C31" s="24" t="s">
        <v>7</v>
      </c>
      <c r="D31" s="25" t="s">
        <v>8</v>
      </c>
      <c r="E31" s="26">
        <f>sector_data!B9</f>
        <v>42</v>
      </c>
      <c r="F31" s="27">
        <f>sector_data!F9</f>
        <v>57</v>
      </c>
      <c r="G31" s="27">
        <f>sector_data!H9</f>
        <v>52</v>
      </c>
      <c r="H31" s="27">
        <f>sector_data!J9</f>
        <v>40</v>
      </c>
      <c r="I31" s="27">
        <f>sector_data!L9</f>
        <v>0.66</v>
      </c>
      <c r="J31" s="28">
        <f>sector_data!N9</f>
        <v>0.52</v>
      </c>
    </row>
    <row r="32" customFormat="1" ht="17.75" spans="2:10">
      <c r="B32" s="29"/>
      <c r="C32" s="30"/>
      <c r="D32" s="25" t="s">
        <v>9</v>
      </c>
      <c r="E32" s="26">
        <f>sector_data!D9</f>
        <v>19</v>
      </c>
      <c r="F32" s="26"/>
      <c r="G32" s="26"/>
      <c r="H32" s="26"/>
      <c r="I32" s="26"/>
      <c r="J32" s="27"/>
    </row>
    <row r="33" customFormat="1" ht="17.75" spans="2:10">
      <c r="B33" s="29"/>
      <c r="C33" s="24" t="s">
        <v>10</v>
      </c>
      <c r="D33" s="25" t="s">
        <v>8</v>
      </c>
      <c r="E33" s="26">
        <f>sector_data!C9</f>
        <v>49</v>
      </c>
      <c r="F33" s="27">
        <f>sector_data!G9</f>
        <v>71</v>
      </c>
      <c r="G33" s="27">
        <f>sector_data!I9</f>
        <v>57</v>
      </c>
      <c r="H33" s="27">
        <f>sector_data!K9</f>
        <v>48</v>
      </c>
      <c r="I33" s="27">
        <f>sector_data!M9</f>
        <v>0.62</v>
      </c>
      <c r="J33" s="27"/>
    </row>
    <row r="34" customFormat="1" ht="17.75" spans="2:10">
      <c r="B34" s="31"/>
      <c r="C34" s="30"/>
      <c r="D34" s="25" t="s">
        <v>9</v>
      </c>
      <c r="E34" s="26">
        <f>sector_data!E9</f>
        <v>28</v>
      </c>
      <c r="F34" s="26"/>
      <c r="G34" s="26"/>
      <c r="H34" s="26"/>
      <c r="I34" s="26"/>
      <c r="J34" s="26"/>
    </row>
    <row r="35" customFormat="1" ht="17.75" spans="2:10">
      <c r="B35" s="29" t="str">
        <f>sector_data!A10</f>
        <v>c109</v>
      </c>
      <c r="C35" s="24" t="s">
        <v>7</v>
      </c>
      <c r="D35" s="25" t="s">
        <v>8</v>
      </c>
      <c r="E35" s="26">
        <f>sector_data!B10</f>
        <v>22</v>
      </c>
      <c r="F35" s="27">
        <f>sector_data!F10</f>
        <v>34</v>
      </c>
      <c r="G35" s="27">
        <f>sector_data!H10</f>
        <v>31</v>
      </c>
      <c r="H35" s="27">
        <f>sector_data!J10</f>
        <v>25</v>
      </c>
      <c r="I35" s="27">
        <f>sector_data!L10</f>
        <v>0.74</v>
      </c>
      <c r="J35" s="28">
        <f>sector_data!N10</f>
        <v>0.55</v>
      </c>
    </row>
    <row r="36" customFormat="1" ht="17.75" spans="2:10">
      <c r="B36" s="29"/>
      <c r="C36" s="30"/>
      <c r="D36" s="25" t="s">
        <v>9</v>
      </c>
      <c r="E36" s="26">
        <f>sector_data!D10</f>
        <v>12</v>
      </c>
      <c r="F36" s="26"/>
      <c r="G36" s="26"/>
      <c r="H36" s="26"/>
      <c r="I36" s="26"/>
      <c r="J36" s="27"/>
    </row>
    <row r="37" customFormat="1" ht="17.75" spans="2:10">
      <c r="B37" s="29"/>
      <c r="C37" s="24" t="s">
        <v>10</v>
      </c>
      <c r="D37" s="25" t="s">
        <v>8</v>
      </c>
      <c r="E37" s="26">
        <f>sector_data!C10</f>
        <v>26</v>
      </c>
      <c r="F37" s="27">
        <f>sector_data!G10</f>
        <v>40</v>
      </c>
      <c r="G37" s="27">
        <f>sector_data!I10</f>
        <v>34</v>
      </c>
      <c r="H37" s="27">
        <f>sector_data!K10</f>
        <v>29</v>
      </c>
      <c r="I37" s="27">
        <f>sector_data!M10</f>
        <v>0.71</v>
      </c>
      <c r="J37" s="27"/>
    </row>
    <row r="38" customFormat="1" ht="17.75" spans="2:10">
      <c r="B38" s="31"/>
      <c r="C38" s="30"/>
      <c r="D38" s="25" t="s">
        <v>9</v>
      </c>
      <c r="E38" s="26">
        <f>sector_data!E10</f>
        <v>15</v>
      </c>
      <c r="F38" s="26"/>
      <c r="G38" s="26"/>
      <c r="H38" s="26"/>
      <c r="I38" s="26"/>
      <c r="J38" s="26"/>
    </row>
    <row r="39" customFormat="1" ht="17.75" spans="2:10">
      <c r="B39" s="29">
        <f>sector_data!A11</f>
        <v>0</v>
      </c>
      <c r="C39" s="24" t="s">
        <v>7</v>
      </c>
      <c r="D39" s="25" t="s">
        <v>8</v>
      </c>
      <c r="E39" s="26">
        <f>sector_data!B11</f>
        <v>0</v>
      </c>
      <c r="F39" s="27">
        <f>sector_data!F11</f>
        <v>0</v>
      </c>
      <c r="G39" s="27">
        <f>sector_data!H11</f>
        <v>0</v>
      </c>
      <c r="H39" s="27">
        <f>sector_data!J11</f>
        <v>0</v>
      </c>
      <c r="I39" s="27">
        <f>sector_data!L11</f>
        <v>0</v>
      </c>
      <c r="J39" s="28">
        <f>sector_data!N11</f>
        <v>0</v>
      </c>
    </row>
    <row r="40" customFormat="1" ht="17.75" spans="2:10">
      <c r="B40" s="29"/>
      <c r="C40" s="30"/>
      <c r="D40" s="25" t="s">
        <v>9</v>
      </c>
      <c r="E40" s="26">
        <f>sector_data!D11</f>
        <v>0</v>
      </c>
      <c r="F40" s="26"/>
      <c r="G40" s="26"/>
      <c r="H40" s="26"/>
      <c r="I40" s="26"/>
      <c r="J40" s="27"/>
    </row>
    <row r="41" customFormat="1" ht="17.75" spans="2:10">
      <c r="B41" s="29"/>
      <c r="C41" s="24" t="s">
        <v>10</v>
      </c>
      <c r="D41" s="25" t="s">
        <v>8</v>
      </c>
      <c r="E41" s="26">
        <f>sector_data!C11</f>
        <v>0</v>
      </c>
      <c r="F41" s="27">
        <f>sector_data!G11</f>
        <v>0</v>
      </c>
      <c r="G41" s="27">
        <f>sector_data!I11</f>
        <v>0</v>
      </c>
      <c r="H41" s="27">
        <f>sector_data!K11</f>
        <v>0</v>
      </c>
      <c r="I41" s="27">
        <f>sector_data!M11</f>
        <v>0</v>
      </c>
      <c r="J41" s="27"/>
    </row>
    <row r="42" customFormat="1" ht="17.75" spans="2:10">
      <c r="B42" s="31"/>
      <c r="C42" s="30"/>
      <c r="D42" s="25" t="s">
        <v>9</v>
      </c>
      <c r="E42" s="26">
        <f>sector_data!E11</f>
        <v>0</v>
      </c>
      <c r="F42" s="26"/>
      <c r="G42" s="26"/>
      <c r="H42" s="26"/>
      <c r="I42" s="26"/>
      <c r="J42" s="26"/>
    </row>
    <row r="43" customFormat="1" ht="17.75" spans="2:10">
      <c r="B43" s="29">
        <f>sector_data!A12</f>
        <v>0</v>
      </c>
      <c r="C43" s="24" t="s">
        <v>7</v>
      </c>
      <c r="D43" s="25" t="s">
        <v>8</v>
      </c>
      <c r="E43" s="26">
        <f>sector_data!B24</f>
        <v>0</v>
      </c>
      <c r="F43" s="27">
        <f>sector_data!F12</f>
        <v>0</v>
      </c>
      <c r="G43" s="27">
        <f>sector_data!H12</f>
        <v>0</v>
      </c>
      <c r="H43" s="27">
        <f>sector_data!J12</f>
        <v>0</v>
      </c>
      <c r="I43" s="27">
        <f>sector_data!L12</f>
        <v>0</v>
      </c>
      <c r="J43" s="28">
        <f>sector_data!N12</f>
        <v>0</v>
      </c>
    </row>
    <row r="44" customFormat="1" ht="17.75" spans="2:10">
      <c r="B44" s="29"/>
      <c r="C44" s="30"/>
      <c r="D44" s="25" t="s">
        <v>9</v>
      </c>
      <c r="E44" s="26">
        <f>sector_data!D24</f>
        <v>0</v>
      </c>
      <c r="F44" s="26"/>
      <c r="G44" s="26"/>
      <c r="H44" s="26"/>
      <c r="I44" s="26"/>
      <c r="J44" s="27"/>
    </row>
    <row r="45" customFormat="1" ht="17.75" spans="2:10">
      <c r="B45" s="29"/>
      <c r="C45" s="24" t="s">
        <v>10</v>
      </c>
      <c r="D45" s="25" t="s">
        <v>8</v>
      </c>
      <c r="E45" s="26">
        <f>sector_data!C24</f>
        <v>0</v>
      </c>
      <c r="F45" s="27">
        <f>sector_data!G11</f>
        <v>0</v>
      </c>
      <c r="G45" s="27">
        <f>sector_data!I12</f>
        <v>0</v>
      </c>
      <c r="H45" s="27">
        <f>sector_data!K12</f>
        <v>0</v>
      </c>
      <c r="I45" s="27">
        <f>sector_data!M12</f>
        <v>0</v>
      </c>
      <c r="J45" s="27"/>
    </row>
    <row r="46" customFormat="1" ht="17.75" spans="2:10">
      <c r="B46" s="31"/>
      <c r="C46" s="30"/>
      <c r="D46" s="25" t="s">
        <v>9</v>
      </c>
      <c r="E46" s="26">
        <f>sector_data!E24</f>
        <v>0</v>
      </c>
      <c r="F46" s="26"/>
      <c r="G46" s="26"/>
      <c r="H46" s="26"/>
      <c r="I46" s="26"/>
      <c r="J46" s="26"/>
    </row>
  </sheetData>
  <mergeCells count="133">
    <mergeCell ref="C2:E2"/>
    <mergeCell ref="B3:B6"/>
    <mergeCell ref="B7:B10"/>
    <mergeCell ref="B11:B14"/>
    <mergeCell ref="B15:B18"/>
    <mergeCell ref="B19:B22"/>
    <mergeCell ref="B23:B26"/>
    <mergeCell ref="B27:B30"/>
    <mergeCell ref="B31:B34"/>
    <mergeCell ref="B35:B38"/>
    <mergeCell ref="B39:B42"/>
    <mergeCell ref="B43:B46"/>
    <mergeCell ref="C3:C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F3:F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G3:G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H3:H4"/>
    <mergeCell ref="H5:H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37:H38"/>
    <mergeCell ref="H39:H40"/>
    <mergeCell ref="H41:H42"/>
    <mergeCell ref="H43:H44"/>
    <mergeCell ref="H45:H46"/>
    <mergeCell ref="I3:I4"/>
    <mergeCell ref="I5:I6"/>
    <mergeCell ref="I7:I8"/>
    <mergeCell ref="I9:I10"/>
    <mergeCell ref="I11:I12"/>
    <mergeCell ref="I13:I14"/>
    <mergeCell ref="I15:I16"/>
    <mergeCell ref="I17:I18"/>
    <mergeCell ref="I19:I20"/>
    <mergeCell ref="I21:I22"/>
    <mergeCell ref="I23:I24"/>
    <mergeCell ref="I25:I26"/>
    <mergeCell ref="I27:I28"/>
    <mergeCell ref="I29:I30"/>
    <mergeCell ref="I31:I32"/>
    <mergeCell ref="I33:I34"/>
    <mergeCell ref="I35:I36"/>
    <mergeCell ref="I37:I38"/>
    <mergeCell ref="I39:I40"/>
    <mergeCell ref="I41:I42"/>
    <mergeCell ref="I43:I44"/>
    <mergeCell ref="I45:I46"/>
    <mergeCell ref="J3:J6"/>
    <mergeCell ref="J7:J10"/>
    <mergeCell ref="J11:J14"/>
    <mergeCell ref="J15:J18"/>
    <mergeCell ref="J19:J22"/>
    <mergeCell ref="J23:J26"/>
    <mergeCell ref="J27:J30"/>
    <mergeCell ref="J31:J34"/>
    <mergeCell ref="J35:J38"/>
    <mergeCell ref="J39:J42"/>
    <mergeCell ref="J43:J4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"/>
  <sheetViews>
    <sheetView workbookViewId="0">
      <selection activeCell="A1" sqref="A$1:N$1048576"/>
    </sheetView>
  </sheetViews>
  <sheetFormatPr defaultColWidth="8.4375" defaultRowHeight="16.8"/>
  <cols>
    <col min="1" max="16384" width="8.4375" style="1"/>
  </cols>
  <sheetData>
    <row r="1" s="1" customFormat="1" spans="1:14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</row>
    <row r="2" s="1" customFormat="1" spans="1:14">
      <c r="A2" s="1" t="s">
        <v>25</v>
      </c>
      <c r="B2" s="1">
        <v>24</v>
      </c>
      <c r="C2" s="1">
        <v>59</v>
      </c>
      <c r="D2" s="1">
        <v>22</v>
      </c>
      <c r="E2" s="1">
        <v>25</v>
      </c>
      <c r="F2" s="1">
        <v>46</v>
      </c>
      <c r="G2" s="1">
        <v>65</v>
      </c>
      <c r="H2" s="1">
        <v>46</v>
      </c>
      <c r="I2" s="1">
        <v>58</v>
      </c>
      <c r="J2" s="1">
        <v>36</v>
      </c>
      <c r="K2" s="1">
        <v>58</v>
      </c>
      <c r="L2" s="1">
        <v>0.78</v>
      </c>
      <c r="M2" s="1">
        <v>0.69</v>
      </c>
      <c r="N2" s="1">
        <v>0.55</v>
      </c>
    </row>
    <row r="3" s="1" customFormat="1" spans="1:14">
      <c r="A3" s="1" t="s">
        <v>26</v>
      </c>
      <c r="B3" s="1">
        <v>45</v>
      </c>
      <c r="C3" s="1">
        <v>71</v>
      </c>
      <c r="D3" s="1">
        <v>15</v>
      </c>
      <c r="E3" s="1">
        <v>24</v>
      </c>
      <c r="F3" s="1">
        <v>56</v>
      </c>
      <c r="G3" s="1">
        <v>90</v>
      </c>
      <c r="H3" s="1">
        <v>53</v>
      </c>
      <c r="I3" s="1">
        <v>67</v>
      </c>
      <c r="J3" s="1">
        <v>51</v>
      </c>
      <c r="K3" s="1">
        <v>67</v>
      </c>
      <c r="L3" s="1">
        <v>0.85</v>
      </c>
      <c r="M3" s="1">
        <v>0.71</v>
      </c>
      <c r="N3" s="1">
        <v>0.61</v>
      </c>
    </row>
    <row r="4" s="1" customFormat="1" spans="1:14">
      <c r="A4" s="1" t="s">
        <v>27</v>
      </c>
      <c r="B4" s="1">
        <v>51</v>
      </c>
      <c r="C4" s="1">
        <v>64</v>
      </c>
      <c r="D4" s="1">
        <v>27</v>
      </c>
      <c r="E4" s="1">
        <v>34</v>
      </c>
      <c r="F4" s="1">
        <v>71</v>
      </c>
      <c r="G4" s="1">
        <v>90</v>
      </c>
      <c r="H4" s="1">
        <v>68</v>
      </c>
      <c r="I4" s="1">
        <v>77</v>
      </c>
      <c r="J4" s="1">
        <v>53</v>
      </c>
      <c r="K4" s="1">
        <v>74</v>
      </c>
      <c r="L4" s="1">
        <v>0.68</v>
      </c>
      <c r="M4" s="1">
        <v>0.76</v>
      </c>
      <c r="N4" s="1">
        <v>0.48</v>
      </c>
    </row>
    <row r="5" s="1" customFormat="1" spans="1:14">
      <c r="A5" s="1" t="s">
        <v>28</v>
      </c>
      <c r="B5" s="1">
        <v>42</v>
      </c>
      <c r="C5" s="1">
        <v>59</v>
      </c>
      <c r="D5" s="1">
        <v>21</v>
      </c>
      <c r="E5" s="1">
        <v>31</v>
      </c>
      <c r="F5" s="1">
        <v>56</v>
      </c>
      <c r="G5" s="1">
        <v>90</v>
      </c>
      <c r="H5" s="1">
        <v>48</v>
      </c>
      <c r="I5" s="1">
        <v>59</v>
      </c>
      <c r="J5" s="1">
        <v>39</v>
      </c>
      <c r="K5" s="1">
        <v>47</v>
      </c>
      <c r="L5" s="1">
        <v>0.62</v>
      </c>
      <c r="M5" s="1">
        <v>0.52</v>
      </c>
      <c r="N5" s="1">
        <v>0.68</v>
      </c>
    </row>
    <row r="6" s="1" customFormat="1" spans="1:14">
      <c r="A6" s="1" t="s">
        <v>29</v>
      </c>
      <c r="B6" s="1">
        <v>33</v>
      </c>
      <c r="C6" s="1">
        <v>51</v>
      </c>
      <c r="D6" s="1">
        <v>12</v>
      </c>
      <c r="E6" s="1">
        <v>15</v>
      </c>
      <c r="F6" s="1">
        <v>44</v>
      </c>
      <c r="G6" s="1">
        <v>64</v>
      </c>
      <c r="H6" s="1">
        <v>39</v>
      </c>
      <c r="I6" s="1">
        <v>51</v>
      </c>
      <c r="J6" s="1">
        <v>30</v>
      </c>
      <c r="K6" s="1">
        <v>47</v>
      </c>
      <c r="L6" s="1">
        <v>0.67</v>
      </c>
      <c r="M6" s="1">
        <v>0.71</v>
      </c>
      <c r="N6" s="1">
        <v>0.52</v>
      </c>
    </row>
    <row r="7" s="1" customFormat="1" spans="1:14">
      <c r="A7" s="1" t="s">
        <v>30</v>
      </c>
      <c r="B7" s="1">
        <v>0</v>
      </c>
      <c r="C7" s="1">
        <v>0</v>
      </c>
      <c r="D7" s="1">
        <v>26</v>
      </c>
      <c r="E7" s="1">
        <v>27</v>
      </c>
      <c r="F7" s="1">
        <v>26</v>
      </c>
      <c r="G7" s="1">
        <v>23</v>
      </c>
      <c r="H7" s="1">
        <v>24</v>
      </c>
      <c r="I7" s="1">
        <v>19</v>
      </c>
      <c r="J7" s="1">
        <v>24</v>
      </c>
      <c r="K7" s="1">
        <v>19</v>
      </c>
      <c r="L7" s="1">
        <v>0.92</v>
      </c>
      <c r="M7" s="1">
        <v>0.7</v>
      </c>
      <c r="N7" s="1">
        <v>0.52</v>
      </c>
    </row>
    <row r="8" s="1" customFormat="1" spans="1:14">
      <c r="A8" s="1" t="s">
        <v>31</v>
      </c>
      <c r="B8" s="1">
        <v>44</v>
      </c>
      <c r="C8" s="1">
        <v>46</v>
      </c>
      <c r="D8" s="1">
        <v>23</v>
      </c>
      <c r="E8" s="1">
        <v>32</v>
      </c>
      <c r="F8" s="1">
        <v>47</v>
      </c>
      <c r="G8" s="1">
        <v>46</v>
      </c>
      <c r="H8" s="1">
        <v>45</v>
      </c>
      <c r="I8" s="1">
        <v>40</v>
      </c>
      <c r="J8" s="1">
        <v>42</v>
      </c>
      <c r="K8" s="1">
        <v>35</v>
      </c>
      <c r="L8" s="1">
        <v>0.63</v>
      </c>
      <c r="M8" s="1">
        <v>0.45</v>
      </c>
      <c r="N8" s="1">
        <v>0.61</v>
      </c>
    </row>
    <row r="9" s="1" customFormat="1" spans="1:14">
      <c r="A9" s="1" t="s">
        <v>32</v>
      </c>
      <c r="B9" s="1">
        <v>42</v>
      </c>
      <c r="C9" s="1">
        <v>49</v>
      </c>
      <c r="D9" s="1">
        <v>19</v>
      </c>
      <c r="E9" s="1">
        <v>28</v>
      </c>
      <c r="F9" s="1">
        <v>57</v>
      </c>
      <c r="G9" s="1">
        <v>71</v>
      </c>
      <c r="H9" s="1">
        <v>52</v>
      </c>
      <c r="I9" s="1">
        <v>57</v>
      </c>
      <c r="J9" s="1">
        <v>40</v>
      </c>
      <c r="K9" s="1">
        <v>48</v>
      </c>
      <c r="L9" s="1">
        <v>0.66</v>
      </c>
      <c r="M9" s="1">
        <v>0.62</v>
      </c>
      <c r="N9" s="1">
        <v>0.52</v>
      </c>
    </row>
    <row r="10" s="1" customFormat="1" spans="1:14">
      <c r="A10" s="1" t="s">
        <v>33</v>
      </c>
      <c r="B10" s="1">
        <v>22</v>
      </c>
      <c r="C10" s="1">
        <v>26</v>
      </c>
      <c r="D10" s="1">
        <v>12</v>
      </c>
      <c r="E10" s="1">
        <v>15</v>
      </c>
      <c r="F10" s="1">
        <v>34</v>
      </c>
      <c r="G10" s="1">
        <v>40</v>
      </c>
      <c r="H10" s="1">
        <v>31</v>
      </c>
      <c r="I10" s="1">
        <v>34</v>
      </c>
      <c r="J10" s="1">
        <v>25</v>
      </c>
      <c r="K10" s="1">
        <v>29</v>
      </c>
      <c r="L10" s="1">
        <v>0.74</v>
      </c>
      <c r="M10" s="1">
        <v>0.71</v>
      </c>
      <c r="N10" s="1">
        <v>0.55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3"/>
  <sheetViews>
    <sheetView tabSelected="1" zoomScale="84" zoomScaleNormal="84" workbookViewId="0">
      <selection activeCell="E33" sqref="E33"/>
    </sheetView>
  </sheetViews>
  <sheetFormatPr defaultColWidth="9" defaultRowHeight="16.8"/>
  <cols>
    <col min="1" max="1" width="9" style="4"/>
    <col min="2" max="2" width="19.9921875" style="5" customWidth="1"/>
    <col min="3" max="3" width="33.3203125" style="6" customWidth="1"/>
    <col min="4" max="7" width="16.2734375" style="4" customWidth="1"/>
    <col min="8" max="34" width="9" style="4"/>
  </cols>
  <sheetData>
    <row r="1" s="2" customFormat="1" ht="17" spans="1:34">
      <c r="A1" s="7" t="str">
        <f>coverage_stat!A1</f>
        <v>ID</v>
      </c>
      <c r="B1" s="8" t="str">
        <f>coverage_stat!B1</f>
        <v>Object</v>
      </c>
      <c r="C1" s="9" t="str">
        <f>coverage_stat!C1</f>
        <v>Question</v>
      </c>
      <c r="D1" s="7" t="s">
        <v>34</v>
      </c>
      <c r="E1" s="7" t="s">
        <v>35</v>
      </c>
      <c r="F1" s="7" t="s">
        <v>36</v>
      </c>
      <c r="G1" s="7" t="s">
        <v>37</v>
      </c>
      <c r="H1" s="7" t="str">
        <f>coverage_stat!D1</f>
        <v>c001</v>
      </c>
      <c r="I1" s="7" t="str">
        <f>coverage_stat!E1</f>
        <v>c002</v>
      </c>
      <c r="J1" s="7" t="str">
        <f>coverage_stat!F1</f>
        <v>c003</v>
      </c>
      <c r="K1" s="7" t="str">
        <f>coverage_stat!G1</f>
        <v>c004</v>
      </c>
      <c r="L1" s="7" t="str">
        <f>coverage_stat!H1</f>
        <v>c005</v>
      </c>
      <c r="M1" s="7" t="str">
        <f>coverage_stat!I1</f>
        <v>c006</v>
      </c>
      <c r="N1" s="7" t="str">
        <f>coverage_stat!J1</f>
        <v>c007</v>
      </c>
      <c r="O1" s="7" t="str">
        <f>coverage_stat!K1</f>
        <v>c101</v>
      </c>
      <c r="P1" s="7" t="str">
        <f>coverage_stat!L1</f>
        <v>c102</v>
      </c>
      <c r="Q1" s="7" t="str">
        <f>coverage_stat!M1</f>
        <v>c103</v>
      </c>
      <c r="R1" s="7" t="str">
        <f>coverage_stat!N1</f>
        <v>c104</v>
      </c>
      <c r="S1" s="7" t="str">
        <f>coverage_stat!O1</f>
        <v>c105</v>
      </c>
      <c r="T1" s="7" t="str">
        <f>coverage_stat!P1</f>
        <v>c106</v>
      </c>
      <c r="U1" s="7" t="str">
        <f>coverage_stat!Q1</f>
        <v>c107</v>
      </c>
      <c r="V1" s="7" t="str">
        <f>coverage_stat!R1</f>
        <v>c108</v>
      </c>
      <c r="W1" s="7" t="str">
        <f>coverage_stat!S1</f>
        <v>c109</v>
      </c>
      <c r="X1" s="7" t="str">
        <f>coverage_stat!T1</f>
        <v>c201</v>
      </c>
      <c r="Y1" s="7" t="str">
        <f>coverage_stat!U1</f>
        <v>c202</v>
      </c>
      <c r="Z1" s="7" t="str">
        <f>coverage_stat!V1</f>
        <v>c203</v>
      </c>
      <c r="AA1" s="7" t="str">
        <f>coverage_stat!W1</f>
        <v>c204</v>
      </c>
      <c r="AB1" s="7" t="str">
        <f>coverage_stat!X1</f>
        <v>c205</v>
      </c>
      <c r="AC1" s="7" t="str">
        <f>coverage_stat!Y1</f>
        <v>c206</v>
      </c>
      <c r="AD1" s="7" t="str">
        <f>coverage_stat!Z1</f>
        <v>c207</v>
      </c>
      <c r="AE1" s="7" t="str">
        <f>coverage_stat!AA1</f>
        <v>c208</v>
      </c>
      <c r="AF1" s="7" t="str">
        <f>coverage_stat!AB1</f>
        <v>c209</v>
      </c>
      <c r="AG1" s="7" t="str">
        <f>coverage_stat!AC1</f>
        <v>c210</v>
      </c>
      <c r="AH1" s="7" t="str">
        <f>coverage_stat!AD1</f>
        <v>c211</v>
      </c>
    </row>
    <row r="2" ht="17" spans="1:34">
      <c r="A2" s="10" t="str">
        <f>coverage_stat!A2</f>
        <v>DS01Q01</v>
      </c>
      <c r="B2" s="11" t="str">
        <f>coverage_stat!B2</f>
        <v>Tacit knowledge</v>
      </c>
      <c r="C2" s="12" t="str">
        <f>coverage_stat!C2</f>
        <v>Which tacit knowledge is described?</v>
      </c>
      <c r="D2" s="10">
        <f>ROUND(SUM(H2:AH2)/COUNT(H2:AH2),2)</f>
        <v>0.74</v>
      </c>
      <c r="E2" s="10">
        <f>ROUND(SUM(H2:N2)/COUNT(H2:N2),2)</f>
        <v>0.57</v>
      </c>
      <c r="F2" s="10">
        <f>ROUND(SUM(O2:W2)/COUNT(O2:W2),2)</f>
        <v>0.78</v>
      </c>
      <c r="G2" s="10">
        <f>ROUND(SUM(X2:AH2)/COUNT(X2:AH2),2)</f>
        <v>0.82</v>
      </c>
      <c r="H2" s="10">
        <f>coverage_stat!D2</f>
        <v>1</v>
      </c>
      <c r="I2" s="10">
        <f>coverage_stat!E2</f>
        <v>1</v>
      </c>
      <c r="J2" s="10">
        <f>coverage_stat!F2</f>
        <v>0</v>
      </c>
      <c r="K2" s="10">
        <f>coverage_stat!G2</f>
        <v>1</v>
      </c>
      <c r="L2" s="10">
        <f>coverage_stat!H2</f>
        <v>0</v>
      </c>
      <c r="M2" s="10">
        <f>coverage_stat!I2</f>
        <v>1</v>
      </c>
      <c r="N2" s="10">
        <f>coverage_stat!J2</f>
        <v>0</v>
      </c>
      <c r="O2" s="10">
        <f>coverage_stat!K2</f>
        <v>1</v>
      </c>
      <c r="P2" s="10">
        <f>coverage_stat!L2</f>
        <v>1</v>
      </c>
      <c r="Q2" s="10">
        <f>coverage_stat!M2</f>
        <v>0</v>
      </c>
      <c r="R2" s="10">
        <f>coverage_stat!N2</f>
        <v>1</v>
      </c>
      <c r="S2" s="10">
        <f>coverage_stat!O2</f>
        <v>1</v>
      </c>
      <c r="T2" s="10">
        <f>coverage_stat!P2</f>
        <v>1</v>
      </c>
      <c r="U2" s="10">
        <f>coverage_stat!Q2</f>
        <v>0</v>
      </c>
      <c r="V2" s="10">
        <f>coverage_stat!R2</f>
        <v>1</v>
      </c>
      <c r="W2" s="10">
        <f>coverage_stat!S2</f>
        <v>1</v>
      </c>
      <c r="X2" s="10">
        <f>coverage_stat!T2</f>
        <v>1</v>
      </c>
      <c r="Y2" s="10">
        <f>coverage_stat!U2</f>
        <v>1</v>
      </c>
      <c r="Z2" s="10">
        <f>coverage_stat!V2</f>
        <v>1</v>
      </c>
      <c r="AA2" s="10">
        <f>coverage_stat!W2</f>
        <v>1</v>
      </c>
      <c r="AB2" s="10">
        <f>coverage_stat!X2</f>
        <v>1</v>
      </c>
      <c r="AC2" s="10">
        <f>coverage_stat!Y2</f>
        <v>0</v>
      </c>
      <c r="AD2" s="10">
        <f>coverage_stat!Z2</f>
        <v>1</v>
      </c>
      <c r="AE2" s="10">
        <f>coverage_stat!AA2</f>
        <v>0</v>
      </c>
      <c r="AF2" s="10">
        <f>coverage_stat!AB2</f>
        <v>1</v>
      </c>
      <c r="AG2" s="10">
        <f>coverage_stat!AC2</f>
        <v>1</v>
      </c>
      <c r="AH2" s="10">
        <f>coverage_stat!AD2</f>
        <v>1</v>
      </c>
    </row>
    <row r="3" ht="34" spans="1:34">
      <c r="A3" s="10" t="str">
        <f>coverage_stat!A3</f>
        <v>DS01Q02</v>
      </c>
      <c r="B3" s="11" t="str">
        <f>coverage_stat!B3</f>
        <v>Knowledge Holder</v>
      </c>
      <c r="C3" s="12" t="str">
        <f>coverage_stat!C3</f>
        <v>Which knowledge holders are described?</v>
      </c>
      <c r="D3" s="10">
        <f t="shared" ref="D3:D18" si="0">ROUND(SUM(H3:AH3)/COUNT(H3:AH3),2)</f>
        <v>1</v>
      </c>
      <c r="E3" s="10">
        <f t="shared" ref="E3:E16" si="1">ROUND(SUM(H3:N3)/COUNT(H3:N3),2)</f>
        <v>1</v>
      </c>
      <c r="F3" s="10">
        <f t="shared" ref="F3:F16" si="2">ROUND(SUM(O3:W3)/COUNT(O3:W3),2)</f>
        <v>1</v>
      </c>
      <c r="G3" s="10">
        <f t="shared" ref="G3:G16" si="3">ROUND(SUM(X3:AH3)/COUNT(X3:AH3),2)</f>
        <v>1</v>
      </c>
      <c r="H3" s="10">
        <f>coverage_stat!D3</f>
        <v>1</v>
      </c>
      <c r="I3" s="10">
        <f>coverage_stat!E3</f>
        <v>1</v>
      </c>
      <c r="J3" s="10">
        <f>coverage_stat!F3</f>
        <v>1</v>
      </c>
      <c r="K3" s="10">
        <f>coverage_stat!G3</f>
        <v>1</v>
      </c>
      <c r="L3" s="10">
        <f>coverage_stat!H3</f>
        <v>1</v>
      </c>
      <c r="M3" s="10">
        <f>coverage_stat!I3</f>
        <v>1</v>
      </c>
      <c r="N3" s="10">
        <f>coverage_stat!J3</f>
        <v>1</v>
      </c>
      <c r="O3" s="10">
        <f>coverage_stat!K3</f>
        <v>1</v>
      </c>
      <c r="P3" s="10">
        <f>coverage_stat!L3</f>
        <v>1</v>
      </c>
      <c r="Q3" s="10">
        <f>coverage_stat!M3</f>
        <v>1</v>
      </c>
      <c r="R3" s="10">
        <f>coverage_stat!N3</f>
        <v>1</v>
      </c>
      <c r="S3" s="10">
        <f>coverage_stat!O3</f>
        <v>1</v>
      </c>
      <c r="T3" s="10">
        <f>coverage_stat!P3</f>
        <v>1</v>
      </c>
      <c r="U3" s="10">
        <f>coverage_stat!Q3</f>
        <v>1</v>
      </c>
      <c r="V3" s="10">
        <f>coverage_stat!R3</f>
        <v>1</v>
      </c>
      <c r="W3" s="10">
        <f>coverage_stat!S3</f>
        <v>1</v>
      </c>
      <c r="X3" s="10">
        <f>coverage_stat!T3</f>
        <v>1</v>
      </c>
      <c r="Y3" s="10">
        <f>coverage_stat!U3</f>
        <v>1</v>
      </c>
      <c r="Z3" s="10">
        <f>coverage_stat!V3</f>
        <v>1</v>
      </c>
      <c r="AA3" s="10">
        <f>coverage_stat!W3</f>
        <v>1</v>
      </c>
      <c r="AB3" s="10">
        <f>coverage_stat!X3</f>
        <v>1</v>
      </c>
      <c r="AC3" s="10">
        <f>coverage_stat!Y3</f>
        <v>1</v>
      </c>
      <c r="AD3" s="10">
        <f>coverage_stat!Z3</f>
        <v>1</v>
      </c>
      <c r="AE3" s="10">
        <f>coverage_stat!AA3</f>
        <v>1</v>
      </c>
      <c r="AF3" s="10">
        <f>coverage_stat!AB3</f>
        <v>1</v>
      </c>
      <c r="AG3" s="10">
        <f>coverage_stat!AC3</f>
        <v>1</v>
      </c>
      <c r="AH3" s="10">
        <f>coverage_stat!AD3</f>
        <v>1</v>
      </c>
    </row>
    <row r="4" ht="17" spans="1:34">
      <c r="A4" s="10" t="str">
        <f>coverage_stat!A4</f>
        <v>DS01Q03</v>
      </c>
      <c r="B4" s="11" t="str">
        <f>coverage_stat!B4</f>
        <v>Traditional Human-centred Practices</v>
      </c>
      <c r="C4" s="12" t="str">
        <f>coverage_stat!C4</f>
        <v>Which traditional human-centred practices are described?</v>
      </c>
      <c r="D4" s="10">
        <f t="shared" si="0"/>
        <v>0.7</v>
      </c>
      <c r="E4" s="10">
        <f t="shared" si="1"/>
        <v>0.86</v>
      </c>
      <c r="F4" s="10">
        <f t="shared" si="2"/>
        <v>0.67</v>
      </c>
      <c r="G4" s="10">
        <f t="shared" si="3"/>
        <v>0.64</v>
      </c>
      <c r="H4" s="10">
        <f>coverage_stat!D4</f>
        <v>0</v>
      </c>
      <c r="I4" s="10">
        <f>coverage_stat!E4</f>
        <v>1</v>
      </c>
      <c r="J4" s="10">
        <f>coverage_stat!F4</f>
        <v>1</v>
      </c>
      <c r="K4" s="10">
        <f>coverage_stat!G4</f>
        <v>1</v>
      </c>
      <c r="L4" s="10">
        <f>coverage_stat!H4</f>
        <v>1</v>
      </c>
      <c r="M4" s="10">
        <f>coverage_stat!I4</f>
        <v>1</v>
      </c>
      <c r="N4" s="10">
        <f>coverage_stat!J4</f>
        <v>1</v>
      </c>
      <c r="O4" s="10">
        <f>coverage_stat!K4</f>
        <v>1</v>
      </c>
      <c r="P4" s="10">
        <f>coverage_stat!L4</f>
        <v>1</v>
      </c>
      <c r="Q4" s="10">
        <f>coverage_stat!M4</f>
        <v>1</v>
      </c>
      <c r="R4" s="10">
        <f>coverage_stat!N4</f>
        <v>1</v>
      </c>
      <c r="S4" s="10">
        <f>coverage_stat!O4</f>
        <v>0</v>
      </c>
      <c r="T4" s="10">
        <f>coverage_stat!P4</f>
        <v>0</v>
      </c>
      <c r="U4" s="10">
        <f>coverage_stat!Q4</f>
        <v>1</v>
      </c>
      <c r="V4" s="10">
        <f>coverage_stat!R4</f>
        <v>0</v>
      </c>
      <c r="W4" s="10">
        <f>coverage_stat!S4</f>
        <v>1</v>
      </c>
      <c r="X4" s="10">
        <f>coverage_stat!T4</f>
        <v>1</v>
      </c>
      <c r="Y4" s="10">
        <f>coverage_stat!U4</f>
        <v>1</v>
      </c>
      <c r="Z4" s="10">
        <f>coverage_stat!V4</f>
        <v>1</v>
      </c>
      <c r="AA4" s="10">
        <f>coverage_stat!W4</f>
        <v>0</v>
      </c>
      <c r="AB4" s="10">
        <f>coverage_stat!X4</f>
        <v>0</v>
      </c>
      <c r="AC4" s="10">
        <f>coverage_stat!Y4</f>
        <v>1</v>
      </c>
      <c r="AD4" s="10">
        <f>coverage_stat!Z4</f>
        <v>1</v>
      </c>
      <c r="AE4" s="10">
        <f>coverage_stat!AA4</f>
        <v>0</v>
      </c>
      <c r="AF4" s="10">
        <f>coverage_stat!AB4</f>
        <v>1</v>
      </c>
      <c r="AG4" s="10">
        <f>coverage_stat!AC4</f>
        <v>1</v>
      </c>
      <c r="AH4" s="10">
        <f>coverage_stat!AD4</f>
        <v>0</v>
      </c>
    </row>
    <row r="5" ht="17" spans="1:34">
      <c r="A5" s="10" t="str">
        <f>coverage_stat!A5</f>
        <v>DS01Q04</v>
      </c>
      <c r="B5" s="11" t="str">
        <f>coverage_stat!B5</f>
        <v>Technology-enabled Practice</v>
      </c>
      <c r="C5" s="12" t="str">
        <f>coverage_stat!C5</f>
        <v>Which technology‑enabled practices have been described?</v>
      </c>
      <c r="D5" s="10">
        <f t="shared" si="0"/>
        <v>1</v>
      </c>
      <c r="E5" s="10">
        <f t="shared" si="1"/>
        <v>1</v>
      </c>
      <c r="F5" s="10">
        <f t="shared" si="2"/>
        <v>1</v>
      </c>
      <c r="G5" s="10">
        <f t="shared" si="3"/>
        <v>1</v>
      </c>
      <c r="H5" s="10">
        <f>coverage_stat!D5</f>
        <v>1</v>
      </c>
      <c r="I5" s="10">
        <f>coverage_stat!E5</f>
        <v>1</v>
      </c>
      <c r="J5" s="10">
        <f>coverage_stat!F5</f>
        <v>1</v>
      </c>
      <c r="K5" s="10">
        <f>coverage_stat!G5</f>
        <v>1</v>
      </c>
      <c r="L5" s="10">
        <f>coverage_stat!H5</f>
        <v>1</v>
      </c>
      <c r="M5" s="10">
        <f>coverage_stat!I5</f>
        <v>1</v>
      </c>
      <c r="N5" s="10">
        <f>coverage_stat!J5</f>
        <v>1</v>
      </c>
      <c r="O5" s="10">
        <f>coverage_stat!K5</f>
        <v>1</v>
      </c>
      <c r="P5" s="10">
        <f>coverage_stat!L5</f>
        <v>1</v>
      </c>
      <c r="Q5" s="10">
        <f>coverage_stat!M5</f>
        <v>1</v>
      </c>
      <c r="R5" s="10">
        <f>coverage_stat!N5</f>
        <v>1</v>
      </c>
      <c r="S5" s="10">
        <f>coverage_stat!O5</f>
        <v>1</v>
      </c>
      <c r="T5" s="10">
        <f>coverage_stat!P5</f>
        <v>1</v>
      </c>
      <c r="U5" s="10">
        <f>coverage_stat!Q5</f>
        <v>1</v>
      </c>
      <c r="V5" s="10">
        <f>coverage_stat!R5</f>
        <v>1</v>
      </c>
      <c r="W5" s="10">
        <f>coverage_stat!S5</f>
        <v>1</v>
      </c>
      <c r="X5" s="10">
        <f>coverage_stat!T5</f>
        <v>1</v>
      </c>
      <c r="Y5" s="10">
        <f>coverage_stat!U5</f>
        <v>1</v>
      </c>
      <c r="Z5" s="10">
        <f>coverage_stat!V5</f>
        <v>1</v>
      </c>
      <c r="AA5" s="10">
        <f>coverage_stat!W5</f>
        <v>1</v>
      </c>
      <c r="AB5" s="10">
        <f>coverage_stat!X5</f>
        <v>1</v>
      </c>
      <c r="AC5" s="10">
        <f>coverage_stat!Y5</f>
        <v>1</v>
      </c>
      <c r="AD5" s="10">
        <f>coverage_stat!Z5</f>
        <v>1</v>
      </c>
      <c r="AE5" s="10">
        <f>coverage_stat!AA5</f>
        <v>1</v>
      </c>
      <c r="AF5" s="10">
        <f>coverage_stat!AB5</f>
        <v>1</v>
      </c>
      <c r="AG5" s="10">
        <f>coverage_stat!AC5</f>
        <v>1</v>
      </c>
      <c r="AH5" s="10">
        <f>coverage_stat!AD5</f>
        <v>1</v>
      </c>
    </row>
    <row r="6" ht="17" spans="1:34">
      <c r="A6" s="10" t="str">
        <f>coverage_stat!A6</f>
        <v>DS01Q05</v>
      </c>
      <c r="B6" s="11" t="str">
        <f>coverage_stat!B6</f>
        <v>Digital Technology</v>
      </c>
      <c r="C6" s="12" t="str">
        <f>coverage_stat!C6</f>
        <v>which emerging technologies have been described?</v>
      </c>
      <c r="D6" s="10">
        <f t="shared" si="0"/>
        <v>1</v>
      </c>
      <c r="E6" s="10">
        <f t="shared" si="1"/>
        <v>1</v>
      </c>
      <c r="F6" s="10">
        <f t="shared" si="2"/>
        <v>1</v>
      </c>
      <c r="G6" s="10">
        <f t="shared" si="3"/>
        <v>1</v>
      </c>
      <c r="H6" s="10">
        <f>coverage_stat!D6</f>
        <v>1</v>
      </c>
      <c r="I6" s="10">
        <f>coverage_stat!E6</f>
        <v>1</v>
      </c>
      <c r="J6" s="10">
        <f>coverage_stat!F6</f>
        <v>1</v>
      </c>
      <c r="K6" s="10">
        <f>coverage_stat!G6</f>
        <v>1</v>
      </c>
      <c r="L6" s="10">
        <f>coverage_stat!H6</f>
        <v>1</v>
      </c>
      <c r="M6" s="10">
        <f>coverage_stat!I6</f>
        <v>1</v>
      </c>
      <c r="N6" s="10">
        <f>coverage_stat!J6</f>
        <v>1</v>
      </c>
      <c r="O6" s="10">
        <f>coverage_stat!K6</f>
        <v>1</v>
      </c>
      <c r="P6" s="10">
        <f>coverage_stat!L6</f>
        <v>1</v>
      </c>
      <c r="Q6" s="10">
        <f>coverage_stat!M6</f>
        <v>1</v>
      </c>
      <c r="R6" s="10">
        <f>coverage_stat!N6</f>
        <v>1</v>
      </c>
      <c r="S6" s="10">
        <f>coverage_stat!O6</f>
        <v>1</v>
      </c>
      <c r="T6" s="10">
        <f>coverage_stat!P6</f>
        <v>1</v>
      </c>
      <c r="U6" s="10">
        <f>coverage_stat!Q6</f>
        <v>1</v>
      </c>
      <c r="V6" s="10">
        <f>coverage_stat!R6</f>
        <v>1</v>
      </c>
      <c r="W6" s="10">
        <f>coverage_stat!S6</f>
        <v>1</v>
      </c>
      <c r="X6" s="10">
        <f>coverage_stat!T6</f>
        <v>1</v>
      </c>
      <c r="Y6" s="10">
        <f>coverage_stat!U6</f>
        <v>1</v>
      </c>
      <c r="Z6" s="10">
        <f>coverage_stat!V6</f>
        <v>1</v>
      </c>
      <c r="AA6" s="10">
        <f>coverage_stat!W6</f>
        <v>1</v>
      </c>
      <c r="AB6" s="10">
        <f>coverage_stat!X6</f>
        <v>1</v>
      </c>
      <c r="AC6" s="10">
        <f>coverage_stat!Y6</f>
        <v>1</v>
      </c>
      <c r="AD6" s="10">
        <f>coverage_stat!Z6</f>
        <v>1</v>
      </c>
      <c r="AE6" s="10">
        <f>coverage_stat!AA6</f>
        <v>1</v>
      </c>
      <c r="AF6" s="10">
        <f>coverage_stat!AB6</f>
        <v>1</v>
      </c>
      <c r="AG6" s="10">
        <f>coverage_stat!AC6</f>
        <v>1</v>
      </c>
      <c r="AH6" s="10">
        <f>coverage_stat!AD6</f>
        <v>1</v>
      </c>
    </row>
    <row r="7" ht="34" spans="1:34">
      <c r="A7" s="10" t="str">
        <f>coverage_stat!A7</f>
        <v>DS01Q06</v>
      </c>
      <c r="B7" s="11" t="str">
        <f>coverage_stat!B7</f>
        <v>Organizational Dependency</v>
      </c>
      <c r="C7" s="12" t="str">
        <f>coverage_stat!C7</f>
        <v>Which internal prerequisites are stated as necessary for technology-enable practices?</v>
      </c>
      <c r="D7" s="10">
        <f t="shared" si="0"/>
        <v>0.52</v>
      </c>
      <c r="E7" s="10">
        <f t="shared" si="1"/>
        <v>0.71</v>
      </c>
      <c r="F7" s="10">
        <f t="shared" si="2"/>
        <v>0.44</v>
      </c>
      <c r="G7" s="10">
        <f t="shared" si="3"/>
        <v>0.45</v>
      </c>
      <c r="H7" s="10">
        <f>coverage_stat!D7</f>
        <v>1</v>
      </c>
      <c r="I7" s="10">
        <f>coverage_stat!E7</f>
        <v>0</v>
      </c>
      <c r="J7" s="10">
        <f>coverage_stat!F7</f>
        <v>1</v>
      </c>
      <c r="K7" s="10">
        <f>coverage_stat!G7</f>
        <v>1</v>
      </c>
      <c r="L7" s="10">
        <f>coverage_stat!H7</f>
        <v>1</v>
      </c>
      <c r="M7" s="10">
        <f>coverage_stat!I7</f>
        <v>0</v>
      </c>
      <c r="N7" s="10">
        <f>coverage_stat!J7</f>
        <v>1</v>
      </c>
      <c r="O7" s="10">
        <f>coverage_stat!K7</f>
        <v>1</v>
      </c>
      <c r="P7" s="10">
        <f>coverage_stat!L7</f>
        <v>0</v>
      </c>
      <c r="Q7" s="10">
        <f>coverage_stat!M7</f>
        <v>1</v>
      </c>
      <c r="R7" s="10">
        <f>coverage_stat!N7</f>
        <v>1</v>
      </c>
      <c r="S7" s="10">
        <f>coverage_stat!O7</f>
        <v>0</v>
      </c>
      <c r="T7" s="10">
        <f>coverage_stat!P7</f>
        <v>0</v>
      </c>
      <c r="U7" s="10">
        <f>coverage_stat!Q7</f>
        <v>1</v>
      </c>
      <c r="V7" s="10">
        <f>coverage_stat!R7</f>
        <v>0</v>
      </c>
      <c r="W7" s="10">
        <f>coverage_stat!S7</f>
        <v>0</v>
      </c>
      <c r="X7" s="10">
        <f>coverage_stat!T7</f>
        <v>0</v>
      </c>
      <c r="Y7" s="10">
        <f>coverage_stat!U7</f>
        <v>0</v>
      </c>
      <c r="Z7" s="10">
        <f>coverage_stat!V7</f>
        <v>1</v>
      </c>
      <c r="AA7" s="10">
        <f>coverage_stat!W7</f>
        <v>0</v>
      </c>
      <c r="AB7" s="10">
        <f>coverage_stat!X7</f>
        <v>0</v>
      </c>
      <c r="AC7" s="10">
        <f>coverage_stat!Y7</f>
        <v>1</v>
      </c>
      <c r="AD7" s="10">
        <f>coverage_stat!Z7</f>
        <v>1</v>
      </c>
      <c r="AE7" s="10">
        <f>coverage_stat!AA7</f>
        <v>0</v>
      </c>
      <c r="AF7" s="10">
        <f>coverage_stat!AB7</f>
        <v>1</v>
      </c>
      <c r="AG7" s="10">
        <f>coverage_stat!AC7</f>
        <v>0</v>
      </c>
      <c r="AH7" s="10">
        <f>coverage_stat!AD7</f>
        <v>1</v>
      </c>
    </row>
    <row r="8" ht="34" spans="1:34">
      <c r="A8" s="10" t="str">
        <f>coverage_stat!A8</f>
        <v>DS01Q07</v>
      </c>
      <c r="B8" s="11" t="str">
        <f>coverage_stat!B8</f>
        <v>Environment Dependency</v>
      </c>
      <c r="C8" s="12" t="str">
        <f>coverage_stat!C8</f>
        <v>Which external factors affect the implementation of technology-enable practices?</v>
      </c>
      <c r="D8" s="10">
        <f t="shared" si="0"/>
        <v>0.59</v>
      </c>
      <c r="E8" s="10">
        <f t="shared" si="1"/>
        <v>0.57</v>
      </c>
      <c r="F8" s="10">
        <f t="shared" si="2"/>
        <v>0.78</v>
      </c>
      <c r="G8" s="10">
        <f t="shared" si="3"/>
        <v>0.45</v>
      </c>
      <c r="H8" s="10">
        <f>coverage_stat!D8</f>
        <v>0</v>
      </c>
      <c r="I8" s="10">
        <f>coverage_stat!E8</f>
        <v>1</v>
      </c>
      <c r="J8" s="10">
        <f>coverage_stat!F8</f>
        <v>0</v>
      </c>
      <c r="K8" s="10">
        <f>coverage_stat!G8</f>
        <v>0</v>
      </c>
      <c r="L8" s="10">
        <f>coverage_stat!H8</f>
        <v>1</v>
      </c>
      <c r="M8" s="10">
        <f>coverage_stat!I8</f>
        <v>1</v>
      </c>
      <c r="N8" s="10">
        <f>coverage_stat!J8</f>
        <v>1</v>
      </c>
      <c r="O8" s="10">
        <f>coverage_stat!K8</f>
        <v>1</v>
      </c>
      <c r="P8" s="10">
        <f>coverage_stat!L8</f>
        <v>0</v>
      </c>
      <c r="Q8" s="10">
        <f>coverage_stat!M8</f>
        <v>1</v>
      </c>
      <c r="R8" s="10">
        <f>coverage_stat!N8</f>
        <v>1</v>
      </c>
      <c r="S8" s="10">
        <f>coverage_stat!O8</f>
        <v>1</v>
      </c>
      <c r="T8" s="10">
        <f>coverage_stat!P8</f>
        <v>1</v>
      </c>
      <c r="U8" s="10">
        <f>coverage_stat!Q8</f>
        <v>0</v>
      </c>
      <c r="V8" s="10">
        <f>coverage_stat!R8</f>
        <v>1</v>
      </c>
      <c r="W8" s="10">
        <f>coverage_stat!S8</f>
        <v>1</v>
      </c>
      <c r="X8" s="10">
        <f>coverage_stat!T8</f>
        <v>0</v>
      </c>
      <c r="Y8" s="10">
        <f>coverage_stat!U8</f>
        <v>0</v>
      </c>
      <c r="Z8" s="10">
        <f>coverage_stat!V8</f>
        <v>1</v>
      </c>
      <c r="AA8" s="10">
        <f>coverage_stat!W8</f>
        <v>1</v>
      </c>
      <c r="AB8" s="10">
        <f>coverage_stat!X8</f>
        <v>0</v>
      </c>
      <c r="AC8" s="10">
        <f>coverage_stat!Y8</f>
        <v>1</v>
      </c>
      <c r="AD8" s="10">
        <f>coverage_stat!Z8</f>
        <v>1</v>
      </c>
      <c r="AE8" s="10">
        <f>coverage_stat!AA8</f>
        <v>1</v>
      </c>
      <c r="AF8" s="10">
        <f>coverage_stat!AB8</f>
        <v>0</v>
      </c>
      <c r="AG8" s="10">
        <f>coverage_stat!AC8</f>
        <v>0</v>
      </c>
      <c r="AH8" s="10">
        <f>coverage_stat!AD8</f>
        <v>0</v>
      </c>
    </row>
    <row r="9" ht="17" spans="1:34">
      <c r="A9" s="10" t="str">
        <f>coverage_stat!A9</f>
        <v>DS01Q08</v>
      </c>
      <c r="B9" s="11" t="str">
        <f>coverage_stat!B9</f>
        <v>Limitation</v>
      </c>
      <c r="C9" s="12" t="str">
        <f>coverage_stat!C9</f>
        <v>Which limitations are been described</v>
      </c>
      <c r="D9" s="10">
        <f t="shared" si="0"/>
        <v>0.96</v>
      </c>
      <c r="E9" s="10">
        <f t="shared" si="1"/>
        <v>0.86</v>
      </c>
      <c r="F9" s="10">
        <f t="shared" si="2"/>
        <v>1</v>
      </c>
      <c r="G9" s="10">
        <f t="shared" si="3"/>
        <v>1</v>
      </c>
      <c r="H9" s="10">
        <f>coverage_stat!D9</f>
        <v>1</v>
      </c>
      <c r="I9" s="10">
        <f>coverage_stat!E9</f>
        <v>1</v>
      </c>
      <c r="J9" s="10">
        <f>coverage_stat!F9</f>
        <v>1</v>
      </c>
      <c r="K9" s="10">
        <f>coverage_stat!G9</f>
        <v>0</v>
      </c>
      <c r="L9" s="10">
        <f>coverage_stat!H9</f>
        <v>1</v>
      </c>
      <c r="M9" s="10">
        <f>coverage_stat!I9</f>
        <v>1</v>
      </c>
      <c r="N9" s="10">
        <f>coverage_stat!J9</f>
        <v>1</v>
      </c>
      <c r="O9" s="10">
        <f>coverage_stat!K9</f>
        <v>1</v>
      </c>
      <c r="P9" s="10">
        <f>coverage_stat!L9</f>
        <v>1</v>
      </c>
      <c r="Q9" s="10">
        <f>coverage_stat!M9</f>
        <v>1</v>
      </c>
      <c r="R9" s="10">
        <f>coverage_stat!N9</f>
        <v>1</v>
      </c>
      <c r="S9" s="10">
        <f>coverage_stat!O9</f>
        <v>1</v>
      </c>
      <c r="T9" s="10">
        <f>coverage_stat!P9</f>
        <v>1</v>
      </c>
      <c r="U9" s="10">
        <f>coverage_stat!Q9</f>
        <v>1</v>
      </c>
      <c r="V9" s="10">
        <f>coverage_stat!R9</f>
        <v>1</v>
      </c>
      <c r="W9" s="10">
        <f>coverage_stat!S9</f>
        <v>1</v>
      </c>
      <c r="X9" s="10">
        <f>coverage_stat!T9</f>
        <v>1</v>
      </c>
      <c r="Y9" s="10">
        <f>coverage_stat!U9</f>
        <v>1</v>
      </c>
      <c r="Z9" s="10">
        <f>coverage_stat!V9</f>
        <v>1</v>
      </c>
      <c r="AA9" s="10">
        <f>coverage_stat!W9</f>
        <v>1</v>
      </c>
      <c r="AB9" s="10">
        <f>coverage_stat!X9</f>
        <v>1</v>
      </c>
      <c r="AC9" s="10">
        <f>coverage_stat!Y9</f>
        <v>1</v>
      </c>
      <c r="AD9" s="10">
        <f>coverage_stat!Z9</f>
        <v>1</v>
      </c>
      <c r="AE9" s="10">
        <f>coverage_stat!AA9</f>
        <v>1</v>
      </c>
      <c r="AF9" s="10">
        <f>coverage_stat!AB9</f>
        <v>1</v>
      </c>
      <c r="AG9" s="10">
        <f>coverage_stat!AC9</f>
        <v>1</v>
      </c>
      <c r="AH9" s="10">
        <f>coverage_stat!AD9</f>
        <v>1</v>
      </c>
    </row>
    <row r="10" ht="17" spans="1:34">
      <c r="A10" s="10" t="str">
        <f>coverage_stat!A10</f>
        <v>DS01Q09</v>
      </c>
      <c r="B10" s="11" t="str">
        <f>coverage_stat!B10</f>
        <v>be_held_by</v>
      </c>
      <c r="C10" s="12" t="str">
        <f>coverage_stat!C10</f>
        <v>Which tacit knowledge knowledge holders hold?</v>
      </c>
      <c r="D10" s="10">
        <f t="shared" si="0"/>
        <v>0.63</v>
      </c>
      <c r="E10" s="10">
        <f t="shared" si="1"/>
        <v>0.86</v>
      </c>
      <c r="F10" s="10">
        <f t="shared" si="2"/>
        <v>0.44</v>
      </c>
      <c r="G10" s="10">
        <f t="shared" si="3"/>
        <v>0.64</v>
      </c>
      <c r="H10" s="10">
        <f>coverage_stat!D10</f>
        <v>1</v>
      </c>
      <c r="I10" s="10">
        <f>coverage_stat!E10</f>
        <v>1</v>
      </c>
      <c r="J10" s="10">
        <f>coverage_stat!F10</f>
        <v>1</v>
      </c>
      <c r="K10" s="10">
        <f>coverage_stat!G10</f>
        <v>1</v>
      </c>
      <c r="L10" s="10">
        <f>coverage_stat!H10</f>
        <v>1</v>
      </c>
      <c r="M10" s="10">
        <f>coverage_stat!I10</f>
        <v>0</v>
      </c>
      <c r="N10" s="10">
        <f>coverage_stat!J10</f>
        <v>1</v>
      </c>
      <c r="O10" s="10">
        <f>coverage_stat!K10</f>
        <v>0</v>
      </c>
      <c r="P10" s="10">
        <f>coverage_stat!L10</f>
        <v>1</v>
      </c>
      <c r="Q10" s="10">
        <f>coverage_stat!M10</f>
        <v>1</v>
      </c>
      <c r="R10" s="10">
        <f>coverage_stat!N10</f>
        <v>0</v>
      </c>
      <c r="S10" s="10">
        <f>coverage_stat!O10</f>
        <v>1</v>
      </c>
      <c r="T10" s="10">
        <f>coverage_stat!P10</f>
        <v>0</v>
      </c>
      <c r="U10" s="10">
        <f>coverage_stat!Q10</f>
        <v>0</v>
      </c>
      <c r="V10" s="10">
        <f>coverage_stat!R10</f>
        <v>0</v>
      </c>
      <c r="W10" s="10">
        <f>coverage_stat!S10</f>
        <v>1</v>
      </c>
      <c r="X10" s="10">
        <f>coverage_stat!T10</f>
        <v>1</v>
      </c>
      <c r="Y10" s="10">
        <f>coverage_stat!U10</f>
        <v>0</v>
      </c>
      <c r="Z10" s="10">
        <f>coverage_stat!V10</f>
        <v>1</v>
      </c>
      <c r="AA10" s="10">
        <f>coverage_stat!W10</f>
        <v>1</v>
      </c>
      <c r="AB10" s="10">
        <f>coverage_stat!X10</f>
        <v>0</v>
      </c>
      <c r="AC10" s="10">
        <f>coverage_stat!Y10</f>
        <v>1</v>
      </c>
      <c r="AD10" s="10">
        <f>coverage_stat!Z10</f>
        <v>1</v>
      </c>
      <c r="AE10" s="10">
        <f>coverage_stat!AA10</f>
        <v>0</v>
      </c>
      <c r="AF10" s="10">
        <f>coverage_stat!AB10</f>
        <v>1</v>
      </c>
      <c r="AG10" s="10">
        <f>coverage_stat!AC10</f>
        <v>0</v>
      </c>
      <c r="AH10" s="10">
        <f>coverage_stat!AD10</f>
        <v>1</v>
      </c>
    </row>
    <row r="11" ht="17" spans="1:34">
      <c r="A11" s="10" t="str">
        <f>coverage_stat!A11</f>
        <v>DS01Q10</v>
      </c>
      <c r="B11" s="11" t="str">
        <f>coverage_stat!B11</f>
        <v>be_absorbed_by</v>
      </c>
      <c r="C11" s="12" t="str">
        <f>coverage_stat!C11</f>
        <v>which tacit knowledge knowledge holders absorb?</v>
      </c>
      <c r="D11" s="10">
        <f t="shared" si="0"/>
        <v>0.52</v>
      </c>
      <c r="E11" s="10">
        <f t="shared" si="1"/>
        <v>0.71</v>
      </c>
      <c r="F11" s="10">
        <f t="shared" si="2"/>
        <v>0.33</v>
      </c>
      <c r="G11" s="10">
        <f t="shared" si="3"/>
        <v>0.55</v>
      </c>
      <c r="H11" s="10">
        <f>coverage_stat!D11</f>
        <v>1</v>
      </c>
      <c r="I11" s="10">
        <f>coverage_stat!E11</f>
        <v>1</v>
      </c>
      <c r="J11" s="10">
        <f>coverage_stat!F11</f>
        <v>1</v>
      </c>
      <c r="K11" s="10">
        <f>coverage_stat!G11</f>
        <v>0</v>
      </c>
      <c r="L11" s="10">
        <f>coverage_stat!H11</f>
        <v>1</v>
      </c>
      <c r="M11" s="10">
        <f>coverage_stat!I11</f>
        <v>0</v>
      </c>
      <c r="N11" s="10">
        <f>coverage_stat!J11</f>
        <v>1</v>
      </c>
      <c r="O11" s="10">
        <f>coverage_stat!K11</f>
        <v>0</v>
      </c>
      <c r="P11" s="10">
        <f>coverage_stat!L11</f>
        <v>1</v>
      </c>
      <c r="Q11" s="10">
        <f>coverage_stat!M11</f>
        <v>0</v>
      </c>
      <c r="R11" s="10">
        <f>coverage_stat!N11</f>
        <v>0</v>
      </c>
      <c r="S11" s="10">
        <f>coverage_stat!O11</f>
        <v>0</v>
      </c>
      <c r="T11" s="10">
        <f>coverage_stat!P11</f>
        <v>1</v>
      </c>
      <c r="U11" s="10">
        <f>coverage_stat!Q11</f>
        <v>1</v>
      </c>
      <c r="V11" s="10">
        <f>coverage_stat!R11</f>
        <v>0</v>
      </c>
      <c r="W11" s="10">
        <f>coverage_stat!S11</f>
        <v>0</v>
      </c>
      <c r="X11" s="10">
        <f>coverage_stat!T11</f>
        <v>1</v>
      </c>
      <c r="Y11" s="10">
        <f>coverage_stat!U11</f>
        <v>0</v>
      </c>
      <c r="Z11" s="10">
        <f>coverage_stat!V11</f>
        <v>1</v>
      </c>
      <c r="AA11" s="10">
        <f>coverage_stat!W11</f>
        <v>0</v>
      </c>
      <c r="AB11" s="10">
        <f>coverage_stat!X11</f>
        <v>1</v>
      </c>
      <c r="AC11" s="10">
        <f>coverage_stat!Y11</f>
        <v>1</v>
      </c>
      <c r="AD11" s="10">
        <f>coverage_stat!Z11</f>
        <v>0</v>
      </c>
      <c r="AE11" s="10">
        <f>coverage_stat!AA11</f>
        <v>0</v>
      </c>
      <c r="AF11" s="10">
        <f>coverage_stat!AB11</f>
        <v>1</v>
      </c>
      <c r="AG11" s="10">
        <f>coverage_stat!AC11</f>
        <v>0</v>
      </c>
      <c r="AH11" s="10">
        <f>coverage_stat!AD11</f>
        <v>1</v>
      </c>
    </row>
    <row r="12" ht="17" spans="1:34">
      <c r="A12" s="10" t="str">
        <f>coverage_stat!A12</f>
        <v>DS01Q11</v>
      </c>
      <c r="B12" s="11" t="str">
        <f>coverage_stat!B12</f>
        <v>be_captured_by</v>
      </c>
      <c r="C12" s="12" t="str">
        <f>coverage_stat!C12</f>
        <v>which tacit knowledge is captured by technology-enable practices?</v>
      </c>
      <c r="D12" s="10">
        <f t="shared" si="0"/>
        <v>0.74</v>
      </c>
      <c r="E12" s="10">
        <f t="shared" si="1"/>
        <v>0.86</v>
      </c>
      <c r="F12" s="10">
        <f t="shared" si="2"/>
        <v>0.78</v>
      </c>
      <c r="G12" s="10">
        <f t="shared" si="3"/>
        <v>0.64</v>
      </c>
      <c r="H12" s="10">
        <f>coverage_stat!D12</f>
        <v>1</v>
      </c>
      <c r="I12" s="10">
        <f>coverage_stat!E12</f>
        <v>1</v>
      </c>
      <c r="J12" s="10">
        <f>coverage_stat!F12</f>
        <v>1</v>
      </c>
      <c r="K12" s="10">
        <f>coverage_stat!G12</f>
        <v>0</v>
      </c>
      <c r="L12" s="10">
        <f>coverage_stat!H12</f>
        <v>1</v>
      </c>
      <c r="M12" s="10">
        <f>coverage_stat!I12</f>
        <v>1</v>
      </c>
      <c r="N12" s="10">
        <f>coverage_stat!J12</f>
        <v>1</v>
      </c>
      <c r="O12" s="10">
        <f>coverage_stat!K12</f>
        <v>1</v>
      </c>
      <c r="P12" s="10">
        <f>coverage_stat!L12</f>
        <v>1</v>
      </c>
      <c r="Q12" s="10">
        <f>coverage_stat!M12</f>
        <v>1</v>
      </c>
      <c r="R12" s="10">
        <f>coverage_stat!N12</f>
        <v>1</v>
      </c>
      <c r="S12" s="10">
        <f>coverage_stat!O12</f>
        <v>1</v>
      </c>
      <c r="T12" s="10">
        <f>coverage_stat!P12</f>
        <v>1</v>
      </c>
      <c r="U12" s="10">
        <f>coverage_stat!Q12</f>
        <v>0</v>
      </c>
      <c r="V12" s="10">
        <f>coverage_stat!R12</f>
        <v>1</v>
      </c>
      <c r="W12" s="10">
        <f>coverage_stat!S12</f>
        <v>0</v>
      </c>
      <c r="X12" s="10">
        <f>coverage_stat!T12</f>
        <v>1</v>
      </c>
      <c r="Y12" s="10">
        <f>coverage_stat!U12</f>
        <v>1</v>
      </c>
      <c r="Z12" s="10">
        <f>coverage_stat!V12</f>
        <v>1</v>
      </c>
      <c r="AA12" s="10">
        <f>coverage_stat!W12</f>
        <v>0</v>
      </c>
      <c r="AB12" s="10">
        <f>coverage_stat!X12</f>
        <v>1</v>
      </c>
      <c r="AC12" s="10">
        <f>coverage_stat!Y12</f>
        <v>1</v>
      </c>
      <c r="AD12" s="10">
        <f>coverage_stat!Z12</f>
        <v>0</v>
      </c>
      <c r="AE12" s="10">
        <f>coverage_stat!AA12</f>
        <v>0</v>
      </c>
      <c r="AF12" s="10">
        <f>coverage_stat!AB12</f>
        <v>1</v>
      </c>
      <c r="AG12" s="10">
        <f>coverage_stat!AC12</f>
        <v>0</v>
      </c>
      <c r="AH12" s="10">
        <f>coverage_stat!AD12</f>
        <v>1</v>
      </c>
    </row>
    <row r="13" ht="34" spans="1:34">
      <c r="A13" s="10" t="str">
        <f>coverage_stat!A13</f>
        <v>DS01Q12</v>
      </c>
      <c r="B13" s="11" t="str">
        <f>coverage_stat!B13</f>
        <v>be_transferred_by</v>
      </c>
      <c r="C13" s="12" t="str">
        <f>coverage_stat!C13</f>
        <v>Which uncodified skills, intuitions, or behavioral routines  are actively transferred via technology‑enabled practices?</v>
      </c>
      <c r="D13" s="10">
        <f t="shared" si="0"/>
        <v>0.37</v>
      </c>
      <c r="E13" s="10">
        <f t="shared" si="1"/>
        <v>0.29</v>
      </c>
      <c r="F13" s="10">
        <f t="shared" si="2"/>
        <v>0.44</v>
      </c>
      <c r="G13" s="10">
        <f t="shared" si="3"/>
        <v>0.36</v>
      </c>
      <c r="H13" s="10">
        <f>coverage_stat!D13</f>
        <v>1</v>
      </c>
      <c r="I13" s="10">
        <f>coverage_stat!E13</f>
        <v>0</v>
      </c>
      <c r="J13" s="10">
        <f>coverage_stat!F13</f>
        <v>0</v>
      </c>
      <c r="K13" s="10">
        <f>coverage_stat!G13</f>
        <v>0</v>
      </c>
      <c r="L13" s="10">
        <f>coverage_stat!H13</f>
        <v>1</v>
      </c>
      <c r="M13" s="10">
        <f>coverage_stat!I13</f>
        <v>0</v>
      </c>
      <c r="N13" s="10">
        <f>coverage_stat!J13</f>
        <v>0</v>
      </c>
      <c r="O13" s="10">
        <f>coverage_stat!K13</f>
        <v>0</v>
      </c>
      <c r="P13" s="10">
        <f>coverage_stat!L13</f>
        <v>0</v>
      </c>
      <c r="Q13" s="10">
        <f>coverage_stat!M13</f>
        <v>0</v>
      </c>
      <c r="R13" s="10">
        <f>coverage_stat!N13</f>
        <v>0</v>
      </c>
      <c r="S13" s="10">
        <f>coverage_stat!O13</f>
        <v>1</v>
      </c>
      <c r="T13" s="10">
        <f>coverage_stat!P13</f>
        <v>1</v>
      </c>
      <c r="U13" s="10">
        <f>coverage_stat!Q13</f>
        <v>1</v>
      </c>
      <c r="V13" s="10">
        <f>coverage_stat!R13</f>
        <v>0</v>
      </c>
      <c r="W13" s="10">
        <f>coverage_stat!S13</f>
        <v>1</v>
      </c>
      <c r="X13" s="10">
        <f>coverage_stat!T13</f>
        <v>0</v>
      </c>
      <c r="Y13" s="10">
        <f>coverage_stat!U13</f>
        <v>1</v>
      </c>
      <c r="Z13" s="10">
        <f>coverage_stat!V13</f>
        <v>0</v>
      </c>
      <c r="AA13" s="10">
        <f>coverage_stat!W13</f>
        <v>0</v>
      </c>
      <c r="AB13" s="10">
        <f>coverage_stat!X13</f>
        <v>1</v>
      </c>
      <c r="AC13" s="10">
        <f>coverage_stat!Y13</f>
        <v>0</v>
      </c>
      <c r="AD13" s="10">
        <f>coverage_stat!Z13</f>
        <v>0</v>
      </c>
      <c r="AE13" s="10">
        <f>coverage_stat!AA13</f>
        <v>0</v>
      </c>
      <c r="AF13" s="10">
        <f>coverage_stat!AB13</f>
        <v>1</v>
      </c>
      <c r="AG13" s="10">
        <f>coverage_stat!AC13</f>
        <v>0</v>
      </c>
      <c r="AH13" s="10">
        <f>coverage_stat!AD13</f>
        <v>1</v>
      </c>
    </row>
    <row r="14" ht="34" spans="1:34">
      <c r="A14" s="10" t="str">
        <f>coverage_stat!A14</f>
        <v>DS01Q13</v>
      </c>
      <c r="B14" s="11" t="str">
        <f>coverage_stat!B14</f>
        <v>participate_in</v>
      </c>
      <c r="C14" s="12" t="str">
        <f>coverage_stat!C14</f>
        <v>Which knowledge holders actively take part in knowledge retention practices?</v>
      </c>
      <c r="D14" s="10">
        <f t="shared" si="0"/>
        <v>0.44</v>
      </c>
      <c r="E14" s="10">
        <f t="shared" si="1"/>
        <v>0.43</v>
      </c>
      <c r="F14" s="10">
        <f t="shared" si="2"/>
        <v>0.44</v>
      </c>
      <c r="G14" s="10">
        <f t="shared" si="3"/>
        <v>0.45</v>
      </c>
      <c r="H14" s="10">
        <f>coverage_stat!D14</f>
        <v>1</v>
      </c>
      <c r="I14" s="10">
        <f>coverage_stat!E14</f>
        <v>1</v>
      </c>
      <c r="J14" s="10">
        <f>coverage_stat!F14</f>
        <v>1</v>
      </c>
      <c r="K14" s="10">
        <f>coverage_stat!G14</f>
        <v>0</v>
      </c>
      <c r="L14" s="10">
        <f>coverage_stat!H14</f>
        <v>0</v>
      </c>
      <c r="M14" s="10">
        <f>coverage_stat!I14</f>
        <v>0</v>
      </c>
      <c r="N14" s="10">
        <f>coverage_stat!J14</f>
        <v>0</v>
      </c>
      <c r="O14" s="10">
        <f>coverage_stat!K14</f>
        <v>0</v>
      </c>
      <c r="P14" s="10">
        <f>coverage_stat!L14</f>
        <v>0</v>
      </c>
      <c r="Q14" s="10">
        <f>coverage_stat!M14</f>
        <v>0</v>
      </c>
      <c r="R14" s="10">
        <f>coverage_stat!N14</f>
        <v>1</v>
      </c>
      <c r="S14" s="10">
        <f>coverage_stat!O14</f>
        <v>0</v>
      </c>
      <c r="T14" s="10">
        <f>coverage_stat!P14</f>
        <v>1</v>
      </c>
      <c r="U14" s="10">
        <f>coverage_stat!Q14</f>
        <v>1</v>
      </c>
      <c r="V14" s="10">
        <f>coverage_stat!R14</f>
        <v>1</v>
      </c>
      <c r="W14" s="10">
        <f>coverage_stat!S14</f>
        <v>0</v>
      </c>
      <c r="X14" s="10">
        <f>coverage_stat!T14</f>
        <v>1</v>
      </c>
      <c r="Y14" s="10">
        <f>coverage_stat!U14</f>
        <v>0</v>
      </c>
      <c r="Z14" s="10">
        <f>coverage_stat!V14</f>
        <v>0</v>
      </c>
      <c r="AA14" s="10">
        <f>coverage_stat!W14</f>
        <v>0</v>
      </c>
      <c r="AB14" s="10">
        <f>coverage_stat!X14</f>
        <v>0</v>
      </c>
      <c r="AC14" s="10">
        <f>coverage_stat!Y14</f>
        <v>1</v>
      </c>
      <c r="AD14" s="10">
        <f>coverage_stat!Z14</f>
        <v>1</v>
      </c>
      <c r="AE14" s="10">
        <f>coverage_stat!AA14</f>
        <v>1</v>
      </c>
      <c r="AF14" s="10">
        <f>coverage_stat!AB14</f>
        <v>0</v>
      </c>
      <c r="AG14" s="10">
        <f>coverage_stat!AC14</f>
        <v>0</v>
      </c>
      <c r="AH14" s="10">
        <f>coverage_stat!AD14</f>
        <v>1</v>
      </c>
    </row>
    <row r="15" ht="34" spans="1:34">
      <c r="A15" s="10" t="str">
        <f>coverage_stat!A15</f>
        <v>DS01Q14</v>
      </c>
      <c r="B15" s="11" t="str">
        <f>coverage_stat!B15</f>
        <v>depend_on</v>
      </c>
      <c r="C15" s="12" t="str">
        <f>coverage_stat!C15</f>
        <v>which organization or environment conditions technology-enable practices depend on?</v>
      </c>
      <c r="D15" s="10">
        <f t="shared" si="0"/>
        <v>0.81</v>
      </c>
      <c r="E15" s="10">
        <f t="shared" si="1"/>
        <v>1</v>
      </c>
      <c r="F15" s="10">
        <f t="shared" si="2"/>
        <v>0.89</v>
      </c>
      <c r="G15" s="10">
        <f t="shared" si="3"/>
        <v>0.64</v>
      </c>
      <c r="H15" s="10">
        <f>coverage_stat!D15</f>
        <v>1</v>
      </c>
      <c r="I15" s="10">
        <f>coverage_stat!E15</f>
        <v>1</v>
      </c>
      <c r="J15" s="10">
        <f>coverage_stat!F15</f>
        <v>1</v>
      </c>
      <c r="K15" s="10">
        <f>coverage_stat!G15</f>
        <v>1</v>
      </c>
      <c r="L15" s="10">
        <f>coverage_stat!H15</f>
        <v>1</v>
      </c>
      <c r="M15" s="10">
        <f>coverage_stat!I15</f>
        <v>1</v>
      </c>
      <c r="N15" s="10">
        <f>coverage_stat!J15</f>
        <v>1</v>
      </c>
      <c r="O15" s="10">
        <f>coverage_stat!K15</f>
        <v>1</v>
      </c>
      <c r="P15" s="10">
        <f>coverage_stat!L15</f>
        <v>0</v>
      </c>
      <c r="Q15" s="10">
        <f>coverage_stat!M15</f>
        <v>1</v>
      </c>
      <c r="R15" s="10">
        <f>coverage_stat!N15</f>
        <v>1</v>
      </c>
      <c r="S15" s="10">
        <f>coverage_stat!O15</f>
        <v>1</v>
      </c>
      <c r="T15" s="10">
        <f>coverage_stat!P15</f>
        <v>1</v>
      </c>
      <c r="U15" s="10">
        <f>coverage_stat!Q15</f>
        <v>1</v>
      </c>
      <c r="V15" s="10">
        <f>coverage_stat!R15</f>
        <v>1</v>
      </c>
      <c r="W15" s="10">
        <f>coverage_stat!S15</f>
        <v>1</v>
      </c>
      <c r="X15" s="10">
        <f>coverage_stat!T15</f>
        <v>0</v>
      </c>
      <c r="Y15" s="10">
        <f>coverage_stat!U15</f>
        <v>0</v>
      </c>
      <c r="Z15" s="10">
        <f>coverage_stat!V15</f>
        <v>1</v>
      </c>
      <c r="AA15" s="10">
        <f>coverage_stat!W15</f>
        <v>1</v>
      </c>
      <c r="AB15" s="10">
        <f>coverage_stat!X15</f>
        <v>0</v>
      </c>
      <c r="AC15" s="10">
        <f>coverage_stat!Y15</f>
        <v>1</v>
      </c>
      <c r="AD15" s="10">
        <f>coverage_stat!Z15</f>
        <v>1</v>
      </c>
      <c r="AE15" s="10">
        <f>coverage_stat!AA15</f>
        <v>1</v>
      </c>
      <c r="AF15" s="10">
        <f>coverage_stat!AB15</f>
        <v>1</v>
      </c>
      <c r="AG15" s="10">
        <f>coverage_stat!AC15</f>
        <v>0</v>
      </c>
      <c r="AH15" s="10">
        <f>coverage_stat!AD15</f>
        <v>1</v>
      </c>
    </row>
    <row r="16" ht="17" spans="1:34">
      <c r="A16" s="10" t="str">
        <f>coverage_stat!A16</f>
        <v>DS01Q15</v>
      </c>
      <c r="B16" s="11" t="str">
        <f>coverage_stat!B16</f>
        <v>evaluate</v>
      </c>
      <c r="C16" s="12" t="str">
        <f>coverage_stat!C16</f>
        <v>which tacit knowledge technology-enable practices evaluate?</v>
      </c>
      <c r="D16" s="10">
        <f t="shared" si="0"/>
        <v>0.48</v>
      </c>
      <c r="E16" s="10">
        <f t="shared" si="1"/>
        <v>0.43</v>
      </c>
      <c r="F16" s="10">
        <f t="shared" si="2"/>
        <v>0.67</v>
      </c>
      <c r="G16" s="10">
        <f t="shared" si="3"/>
        <v>0.36</v>
      </c>
      <c r="H16" s="10">
        <f>coverage_stat!D16</f>
        <v>1</v>
      </c>
      <c r="I16" s="10">
        <f>coverage_stat!E16</f>
        <v>1</v>
      </c>
      <c r="J16" s="10">
        <f>coverage_stat!F16</f>
        <v>1</v>
      </c>
      <c r="K16" s="10">
        <f>coverage_stat!G16</f>
        <v>0</v>
      </c>
      <c r="L16" s="10">
        <f>coverage_stat!H16</f>
        <v>0</v>
      </c>
      <c r="M16" s="10">
        <f>coverage_stat!I16</f>
        <v>0</v>
      </c>
      <c r="N16" s="10">
        <f>coverage_stat!J16</f>
        <v>0</v>
      </c>
      <c r="O16" s="10">
        <f>coverage_stat!K16</f>
        <v>1</v>
      </c>
      <c r="P16" s="10">
        <f>coverage_stat!L16</f>
        <v>1</v>
      </c>
      <c r="Q16" s="10">
        <f>coverage_stat!M16</f>
        <v>0</v>
      </c>
      <c r="R16" s="10">
        <f>coverage_stat!N16</f>
        <v>1</v>
      </c>
      <c r="S16" s="10">
        <f>coverage_stat!O16</f>
        <v>1</v>
      </c>
      <c r="T16" s="10">
        <f>coverage_stat!P16</f>
        <v>0</v>
      </c>
      <c r="U16" s="10">
        <f>coverage_stat!Q16</f>
        <v>0</v>
      </c>
      <c r="V16" s="10">
        <f>coverage_stat!R16</f>
        <v>1</v>
      </c>
      <c r="W16" s="10">
        <f>coverage_stat!S16</f>
        <v>1</v>
      </c>
      <c r="X16" s="10">
        <f>coverage_stat!T16</f>
        <v>1</v>
      </c>
      <c r="Y16" s="10">
        <f>coverage_stat!U16</f>
        <v>1</v>
      </c>
      <c r="Z16" s="10">
        <f>coverage_stat!V16</f>
        <v>0</v>
      </c>
      <c r="AA16" s="10">
        <f>coverage_stat!W16</f>
        <v>0</v>
      </c>
      <c r="AB16" s="10">
        <f>coverage_stat!X16</f>
        <v>0</v>
      </c>
      <c r="AC16" s="10">
        <f>coverage_stat!Y16</f>
        <v>1</v>
      </c>
      <c r="AD16" s="10">
        <f>coverage_stat!Z16</f>
        <v>0</v>
      </c>
      <c r="AE16" s="10">
        <f>coverage_stat!AA16</f>
        <v>0</v>
      </c>
      <c r="AF16" s="10">
        <f>coverage_stat!AB16</f>
        <v>0</v>
      </c>
      <c r="AG16" s="10">
        <f>coverage_stat!AC16</f>
        <v>0</v>
      </c>
      <c r="AH16" s="10">
        <f>coverage_stat!AD16</f>
        <v>1</v>
      </c>
    </row>
    <row r="17" ht="17" spans="1:34">
      <c r="A17" s="10" t="str">
        <f>coverage_stat!A17</f>
        <v>DS01Q16</v>
      </c>
      <c r="B17" s="11" t="str">
        <f>coverage_stat!B17</f>
        <v>adopt</v>
      </c>
      <c r="C17" s="12" t="str">
        <f>coverage_stat!C17</f>
        <v>Which digital technologies technology‑enabled practices adopt?</v>
      </c>
      <c r="D17" s="10">
        <f t="shared" si="0"/>
        <v>0.44</v>
      </c>
      <c r="E17" s="10">
        <f t="shared" ref="E17:E27" si="4">ROUND(SUM(H17:N17)/COUNT(H17:N17),2)</f>
        <v>0.14</v>
      </c>
      <c r="F17" s="10">
        <f t="shared" ref="F17:F27" si="5">ROUND(SUM(O17:W17)/COUNT(O17:W17),2)</f>
        <v>0.56</v>
      </c>
      <c r="G17" s="10">
        <f t="shared" ref="G17:G27" si="6">ROUND(SUM(X17:AH17)/COUNT(X17:AH17),2)</f>
        <v>0.55</v>
      </c>
      <c r="H17" s="10">
        <f>coverage_stat!D17</f>
        <v>0</v>
      </c>
      <c r="I17" s="10">
        <f>coverage_stat!E17</f>
        <v>0</v>
      </c>
      <c r="J17" s="10">
        <f>coverage_stat!F17</f>
        <v>0</v>
      </c>
      <c r="K17" s="10">
        <f>coverage_stat!G17</f>
        <v>0</v>
      </c>
      <c r="L17" s="10">
        <f>coverage_stat!H17</f>
        <v>0</v>
      </c>
      <c r="M17" s="10">
        <f>coverage_stat!I17</f>
        <v>1</v>
      </c>
      <c r="N17" s="10">
        <f>coverage_stat!J17</f>
        <v>0</v>
      </c>
      <c r="O17" s="10">
        <f>coverage_stat!K17</f>
        <v>0</v>
      </c>
      <c r="P17" s="10">
        <f>coverage_stat!L17</f>
        <v>1</v>
      </c>
      <c r="Q17" s="10">
        <f>coverage_stat!M17</f>
        <v>0</v>
      </c>
      <c r="R17" s="10">
        <f>coverage_stat!N17</f>
        <v>0</v>
      </c>
      <c r="S17" s="10">
        <f>coverage_stat!O17</f>
        <v>1</v>
      </c>
      <c r="T17" s="10">
        <f>coverage_stat!P17</f>
        <v>1</v>
      </c>
      <c r="U17" s="10">
        <f>coverage_stat!Q17</f>
        <v>1</v>
      </c>
      <c r="V17" s="10">
        <f>coverage_stat!R17</f>
        <v>0</v>
      </c>
      <c r="W17" s="10">
        <f>coverage_stat!S17</f>
        <v>1</v>
      </c>
      <c r="X17" s="10">
        <f>coverage_stat!T17</f>
        <v>0</v>
      </c>
      <c r="Y17" s="10">
        <f>coverage_stat!U17</f>
        <v>0</v>
      </c>
      <c r="Z17" s="10">
        <f>coverage_stat!V17</f>
        <v>1</v>
      </c>
      <c r="AA17" s="10">
        <f>coverage_stat!W17</f>
        <v>1</v>
      </c>
      <c r="AB17" s="10">
        <f>coverage_stat!X17</f>
        <v>1</v>
      </c>
      <c r="AC17" s="10">
        <f>coverage_stat!Y17</f>
        <v>0</v>
      </c>
      <c r="AD17" s="10">
        <f>coverage_stat!Z17</f>
        <v>1</v>
      </c>
      <c r="AE17" s="10">
        <f>coverage_stat!AA17</f>
        <v>0</v>
      </c>
      <c r="AF17" s="10">
        <f>coverage_stat!AB17</f>
        <v>0</v>
      </c>
      <c r="AG17" s="10">
        <f>coverage_stat!AC17</f>
        <v>1</v>
      </c>
      <c r="AH17" s="10">
        <f>coverage_stat!AD17</f>
        <v>1</v>
      </c>
    </row>
    <row r="18" ht="17" spans="1:34">
      <c r="A18" s="10" t="str">
        <f>coverage_stat!A18</f>
        <v>DS01Q17</v>
      </c>
      <c r="B18" s="11" t="str">
        <f>coverage_stat!B18</f>
        <v>be_constrained_by</v>
      </c>
      <c r="C18" s="12" t="str">
        <f>coverage_stat!C18</f>
        <v>Which limitations technology-enable practices are constrained by?</v>
      </c>
      <c r="D18" s="10">
        <f t="shared" si="0"/>
        <v>0.78</v>
      </c>
      <c r="E18" s="10">
        <f t="shared" si="4"/>
        <v>0.86</v>
      </c>
      <c r="F18" s="10">
        <f t="shared" si="5"/>
        <v>0.78</v>
      </c>
      <c r="G18" s="10">
        <f t="shared" si="6"/>
        <v>0.73</v>
      </c>
      <c r="H18" s="10">
        <f>coverage_stat!D18</f>
        <v>1</v>
      </c>
      <c r="I18" s="10">
        <f>coverage_stat!E18</f>
        <v>1</v>
      </c>
      <c r="J18" s="10">
        <f>coverage_stat!F18</f>
        <v>1</v>
      </c>
      <c r="K18" s="10">
        <f>coverage_stat!G18</f>
        <v>1</v>
      </c>
      <c r="L18" s="10">
        <f>coverage_stat!H18</f>
        <v>0</v>
      </c>
      <c r="M18" s="10">
        <f>coverage_stat!I18</f>
        <v>1</v>
      </c>
      <c r="N18" s="10">
        <f>coverage_stat!J18</f>
        <v>1</v>
      </c>
      <c r="O18" s="10">
        <f>coverage_stat!K18</f>
        <v>0</v>
      </c>
      <c r="P18" s="10">
        <f>coverage_stat!L18</f>
        <v>1</v>
      </c>
      <c r="Q18" s="10">
        <f>coverage_stat!M18</f>
        <v>1</v>
      </c>
      <c r="R18" s="10">
        <f>coverage_stat!N18</f>
        <v>1</v>
      </c>
      <c r="S18" s="10">
        <f>coverage_stat!O18</f>
        <v>1</v>
      </c>
      <c r="T18" s="10">
        <f>coverage_stat!P18</f>
        <v>1</v>
      </c>
      <c r="U18" s="10">
        <f>coverage_stat!Q18</f>
        <v>1</v>
      </c>
      <c r="V18" s="10">
        <f>coverage_stat!R18</f>
        <v>1</v>
      </c>
      <c r="W18" s="10">
        <f>coverage_stat!S18</f>
        <v>0</v>
      </c>
      <c r="X18" s="10">
        <f>coverage_stat!T18</f>
        <v>1</v>
      </c>
      <c r="Y18" s="10">
        <f>coverage_stat!U18</f>
        <v>1</v>
      </c>
      <c r="Z18" s="10">
        <f>coverage_stat!V18</f>
        <v>1</v>
      </c>
      <c r="AA18" s="10">
        <f>coverage_stat!W18</f>
        <v>0</v>
      </c>
      <c r="AB18" s="10">
        <f>coverage_stat!X18</f>
        <v>1</v>
      </c>
      <c r="AC18" s="10">
        <f>coverage_stat!Y18</f>
        <v>0</v>
      </c>
      <c r="AD18" s="10">
        <f>coverage_stat!Z18</f>
        <v>1</v>
      </c>
      <c r="AE18" s="10">
        <f>coverage_stat!AA18</f>
        <v>1</v>
      </c>
      <c r="AF18" s="10">
        <f>coverage_stat!AB18</f>
        <v>1</v>
      </c>
      <c r="AG18" s="10">
        <f>coverage_stat!AC18</f>
        <v>0</v>
      </c>
      <c r="AH18" s="10">
        <f>coverage_stat!AD18</f>
        <v>1</v>
      </c>
    </row>
    <row r="19" ht="34" spans="1:34">
      <c r="A19" s="10" t="str">
        <f>coverage_stat!A19</f>
        <v>DS01Q18</v>
      </c>
      <c r="B19" s="11" t="str">
        <f>coverage_stat!B19</f>
        <v>resolve</v>
      </c>
      <c r="C19" s="12" t="str">
        <f>coverage_stat!C19</f>
        <v>Which limitations technology‑enabled practices resolve, and what evidence supports this?</v>
      </c>
      <c r="D19" s="10">
        <f t="shared" ref="D19:D30" si="7">ROUND(SUM(H19:AH19)/COUNT(H19:AH19),2)</f>
        <v>0.48</v>
      </c>
      <c r="E19" s="10">
        <f t="shared" si="4"/>
        <v>0.71</v>
      </c>
      <c r="F19" s="10">
        <f t="shared" si="5"/>
        <v>0.44</v>
      </c>
      <c r="G19" s="10">
        <f t="shared" si="6"/>
        <v>0.36</v>
      </c>
      <c r="H19" s="10">
        <f>coverage_stat!D19</f>
        <v>1</v>
      </c>
      <c r="I19" s="10">
        <f>coverage_stat!E19</f>
        <v>1</v>
      </c>
      <c r="J19" s="10">
        <f>coverage_stat!F19</f>
        <v>1</v>
      </c>
      <c r="K19" s="10">
        <f>coverage_stat!G19</f>
        <v>0</v>
      </c>
      <c r="L19" s="10">
        <f>coverage_stat!H19</f>
        <v>0</v>
      </c>
      <c r="M19" s="10">
        <f>coverage_stat!I19</f>
        <v>1</v>
      </c>
      <c r="N19" s="10">
        <f>coverage_stat!J19</f>
        <v>1</v>
      </c>
      <c r="O19" s="10">
        <f>coverage_stat!K19</f>
        <v>0</v>
      </c>
      <c r="P19" s="10">
        <f>coverage_stat!L19</f>
        <v>0</v>
      </c>
      <c r="Q19" s="10">
        <f>coverage_stat!M19</f>
        <v>0</v>
      </c>
      <c r="R19" s="10">
        <f>coverage_stat!N19</f>
        <v>1</v>
      </c>
      <c r="S19" s="10">
        <f>coverage_stat!O19</f>
        <v>0</v>
      </c>
      <c r="T19" s="10">
        <f>coverage_stat!P19</f>
        <v>1</v>
      </c>
      <c r="U19" s="10">
        <f>coverage_stat!Q19</f>
        <v>1</v>
      </c>
      <c r="V19" s="10">
        <f>coverage_stat!R19</f>
        <v>1</v>
      </c>
      <c r="W19" s="10">
        <f>coverage_stat!S19</f>
        <v>0</v>
      </c>
      <c r="X19" s="10">
        <f>coverage_stat!T19</f>
        <v>0</v>
      </c>
      <c r="Y19" s="10">
        <f>coverage_stat!U19</f>
        <v>0</v>
      </c>
      <c r="Z19" s="10">
        <f>coverage_stat!V19</f>
        <v>0</v>
      </c>
      <c r="AA19" s="10">
        <f>coverage_stat!W19</f>
        <v>1</v>
      </c>
      <c r="AB19" s="10">
        <f>coverage_stat!X19</f>
        <v>1</v>
      </c>
      <c r="AC19" s="10">
        <f>coverage_stat!Y19</f>
        <v>1</v>
      </c>
      <c r="AD19" s="10">
        <f>coverage_stat!Z19</f>
        <v>0</v>
      </c>
      <c r="AE19" s="10">
        <f>coverage_stat!AA19</f>
        <v>1</v>
      </c>
      <c r="AF19" s="10">
        <f>coverage_stat!AB19</f>
        <v>0</v>
      </c>
      <c r="AG19" s="10">
        <f>coverage_stat!AC19</f>
        <v>0</v>
      </c>
      <c r="AH19" s="10">
        <f>coverage_stat!AD19</f>
        <v>0</v>
      </c>
    </row>
    <row r="20" ht="17" spans="1:34">
      <c r="A20" s="10" t="str">
        <f>coverage_stat!A20</f>
        <v>DS01Q19</v>
      </c>
      <c r="B20" s="11" t="str">
        <f>coverage_stat!B20</f>
        <v>mitigate</v>
      </c>
      <c r="C20" s="12" t="str">
        <f>coverage_stat!C20</f>
        <v>Which limitations technology‑enabled practices mitigate?</v>
      </c>
      <c r="D20" s="10">
        <f t="shared" si="7"/>
        <v>0.11</v>
      </c>
      <c r="E20" s="10">
        <f t="shared" si="4"/>
        <v>0</v>
      </c>
      <c r="F20" s="10">
        <f t="shared" si="5"/>
        <v>0.22</v>
      </c>
      <c r="G20" s="10">
        <f t="shared" si="6"/>
        <v>0.09</v>
      </c>
      <c r="H20" s="10">
        <f>coverage_stat!D20</f>
        <v>0</v>
      </c>
      <c r="I20" s="10">
        <f>coverage_stat!E20</f>
        <v>0</v>
      </c>
      <c r="J20" s="10">
        <f>coverage_stat!F20</f>
        <v>0</v>
      </c>
      <c r="K20" s="10">
        <f>coverage_stat!G20</f>
        <v>0</v>
      </c>
      <c r="L20" s="10">
        <f>coverage_stat!H20</f>
        <v>0</v>
      </c>
      <c r="M20" s="10">
        <f>coverage_stat!I20</f>
        <v>0</v>
      </c>
      <c r="N20" s="10">
        <f>coverage_stat!J20</f>
        <v>0</v>
      </c>
      <c r="O20" s="10">
        <f>coverage_stat!K20</f>
        <v>0</v>
      </c>
      <c r="P20" s="10">
        <f>coverage_stat!L20</f>
        <v>1</v>
      </c>
      <c r="Q20" s="10">
        <f>coverage_stat!M20</f>
        <v>0</v>
      </c>
      <c r="R20" s="10">
        <f>coverage_stat!N20</f>
        <v>0</v>
      </c>
      <c r="S20" s="10">
        <f>coverage_stat!O20</f>
        <v>0</v>
      </c>
      <c r="T20" s="10">
        <f>coverage_stat!P20</f>
        <v>0</v>
      </c>
      <c r="U20" s="10">
        <f>coverage_stat!Q20</f>
        <v>1</v>
      </c>
      <c r="V20" s="10">
        <f>coverage_stat!R20</f>
        <v>0</v>
      </c>
      <c r="W20" s="10">
        <f>coverage_stat!S20</f>
        <v>0</v>
      </c>
      <c r="X20" s="10">
        <f>coverage_stat!T20</f>
        <v>0</v>
      </c>
      <c r="Y20" s="10">
        <f>coverage_stat!U20</f>
        <v>0</v>
      </c>
      <c r="Z20" s="10">
        <f>coverage_stat!V20</f>
        <v>0</v>
      </c>
      <c r="AA20" s="10">
        <f>coverage_stat!W20</f>
        <v>0</v>
      </c>
      <c r="AB20" s="10">
        <f>coverage_stat!X20</f>
        <v>1</v>
      </c>
      <c r="AC20" s="10">
        <f>coverage_stat!Y20</f>
        <v>0</v>
      </c>
      <c r="AD20" s="10">
        <f>coverage_stat!Z20</f>
        <v>0</v>
      </c>
      <c r="AE20" s="10">
        <f>coverage_stat!AA20</f>
        <v>0</v>
      </c>
      <c r="AF20" s="10">
        <f>coverage_stat!AB20</f>
        <v>0</v>
      </c>
      <c r="AG20" s="10">
        <f>coverage_stat!AC20</f>
        <v>0</v>
      </c>
      <c r="AH20" s="10">
        <f>coverage_stat!AD20</f>
        <v>0</v>
      </c>
    </row>
    <row r="21" ht="34" spans="1:34">
      <c r="A21" s="10" t="str">
        <f>coverage_stat!A21</f>
        <v>DS01Q20</v>
      </c>
      <c r="B21" s="11" t="str">
        <f>coverage_stat!B21</f>
        <v>complement</v>
      </c>
      <c r="C21" s="12" t="str">
        <f>coverage_stat!C21</f>
        <v>Which traditional human-central practices  technology‑enabled practices complement?</v>
      </c>
      <c r="D21" s="10">
        <f t="shared" si="7"/>
        <v>0.3</v>
      </c>
      <c r="E21" s="10">
        <f t="shared" si="4"/>
        <v>0.43</v>
      </c>
      <c r="F21" s="10">
        <f t="shared" si="5"/>
        <v>0.33</v>
      </c>
      <c r="G21" s="10">
        <f t="shared" si="6"/>
        <v>0.18</v>
      </c>
      <c r="H21" s="10">
        <f>coverage_stat!D21</f>
        <v>1</v>
      </c>
      <c r="I21" s="10">
        <f>coverage_stat!E21</f>
        <v>0</v>
      </c>
      <c r="J21" s="10">
        <f>coverage_stat!F21</f>
        <v>0</v>
      </c>
      <c r="K21" s="10">
        <f>coverage_stat!G21</f>
        <v>0</v>
      </c>
      <c r="L21" s="10">
        <f>coverage_stat!H21</f>
        <v>1</v>
      </c>
      <c r="M21" s="10">
        <f>coverage_stat!I21</f>
        <v>1</v>
      </c>
      <c r="N21" s="10">
        <f>coverage_stat!J21</f>
        <v>0</v>
      </c>
      <c r="O21" s="10">
        <f>coverage_stat!K21</f>
        <v>1</v>
      </c>
      <c r="P21" s="10">
        <f>coverage_stat!L21</f>
        <v>0</v>
      </c>
      <c r="Q21" s="10">
        <f>coverage_stat!M21</f>
        <v>0</v>
      </c>
      <c r="R21" s="10">
        <f>coverage_stat!N21</f>
        <v>0</v>
      </c>
      <c r="S21" s="10">
        <f>coverage_stat!O21</f>
        <v>0</v>
      </c>
      <c r="T21" s="10">
        <f>coverage_stat!P21</f>
        <v>0</v>
      </c>
      <c r="U21" s="10">
        <f>coverage_stat!Q21</f>
        <v>1</v>
      </c>
      <c r="V21" s="10">
        <f>coverage_stat!R21</f>
        <v>0</v>
      </c>
      <c r="W21" s="10">
        <f>coverage_stat!S21</f>
        <v>1</v>
      </c>
      <c r="X21" s="10">
        <f>coverage_stat!T21</f>
        <v>0</v>
      </c>
      <c r="Y21" s="10">
        <f>coverage_stat!U21</f>
        <v>0</v>
      </c>
      <c r="Z21" s="10">
        <f>coverage_stat!V21</f>
        <v>1</v>
      </c>
      <c r="AA21" s="10">
        <f>coverage_stat!W21</f>
        <v>0</v>
      </c>
      <c r="AB21" s="10">
        <f>coverage_stat!X21</f>
        <v>0</v>
      </c>
      <c r="AC21" s="10">
        <f>coverage_stat!Y21</f>
        <v>0</v>
      </c>
      <c r="AD21" s="10">
        <f>coverage_stat!Z21</f>
        <v>0</v>
      </c>
      <c r="AE21" s="10">
        <f>coverage_stat!AA21</f>
        <v>0</v>
      </c>
      <c r="AF21" s="10">
        <f>coverage_stat!AB21</f>
        <v>0</v>
      </c>
      <c r="AG21" s="10">
        <f>coverage_stat!AC21</f>
        <v>1</v>
      </c>
      <c r="AH21" s="10">
        <f>coverage_stat!AD21</f>
        <v>0</v>
      </c>
    </row>
    <row r="22" ht="34" spans="1:34">
      <c r="A22" s="10" t="str">
        <f>coverage_stat!A22</f>
        <v>DS01Q21</v>
      </c>
      <c r="B22" s="11" t="str">
        <f>coverage_stat!B22</f>
        <v>cannot_fully_replace</v>
      </c>
      <c r="C22" s="12" t="str">
        <f>coverage_stat!C22</f>
        <v>Which traditional human-central practice technology-enable practice cannot replace fully?</v>
      </c>
      <c r="D22" s="10">
        <f t="shared" si="7"/>
        <v>0.11</v>
      </c>
      <c r="E22" s="10">
        <f t="shared" si="4"/>
        <v>0.14</v>
      </c>
      <c r="F22" s="10">
        <f t="shared" si="5"/>
        <v>0.11</v>
      </c>
      <c r="G22" s="10">
        <f t="shared" si="6"/>
        <v>0.09</v>
      </c>
      <c r="H22" s="10">
        <f>coverage_stat!D22</f>
        <v>0</v>
      </c>
      <c r="I22" s="10">
        <f>coverage_stat!E22</f>
        <v>0</v>
      </c>
      <c r="J22" s="10">
        <f>coverage_stat!F22</f>
        <v>0</v>
      </c>
      <c r="K22" s="10">
        <f>coverage_stat!G22</f>
        <v>1</v>
      </c>
      <c r="L22" s="10">
        <f>coverage_stat!H22</f>
        <v>0</v>
      </c>
      <c r="M22" s="10">
        <f>coverage_stat!I22</f>
        <v>0</v>
      </c>
      <c r="N22" s="10">
        <f>coverage_stat!J22</f>
        <v>0</v>
      </c>
      <c r="O22" s="10">
        <f>coverage_stat!K22</f>
        <v>1</v>
      </c>
      <c r="P22" s="10">
        <f>coverage_stat!L22</f>
        <v>0</v>
      </c>
      <c r="Q22" s="10">
        <f>coverage_stat!M22</f>
        <v>0</v>
      </c>
      <c r="R22" s="10">
        <f>coverage_stat!N22</f>
        <v>0</v>
      </c>
      <c r="S22" s="10">
        <f>coverage_stat!O22</f>
        <v>0</v>
      </c>
      <c r="T22" s="10">
        <f>coverage_stat!P22</f>
        <v>0</v>
      </c>
      <c r="U22" s="10">
        <f>coverage_stat!Q22</f>
        <v>0</v>
      </c>
      <c r="V22" s="10">
        <f>coverage_stat!R22</f>
        <v>0</v>
      </c>
      <c r="W22" s="10">
        <f>coverage_stat!S22</f>
        <v>0</v>
      </c>
      <c r="X22" s="10">
        <f>coverage_stat!T22</f>
        <v>0</v>
      </c>
      <c r="Y22" s="10">
        <f>coverage_stat!U22</f>
        <v>0</v>
      </c>
      <c r="Z22" s="10">
        <f>coverage_stat!V22</f>
        <v>0</v>
      </c>
      <c r="AA22" s="10">
        <f>coverage_stat!W22</f>
        <v>0</v>
      </c>
      <c r="AB22" s="10">
        <f>coverage_stat!X22</f>
        <v>0</v>
      </c>
      <c r="AC22" s="10">
        <f>coverage_stat!Y22</f>
        <v>0</v>
      </c>
      <c r="AD22" s="10">
        <f>coverage_stat!Z22</f>
        <v>0</v>
      </c>
      <c r="AE22" s="10">
        <f>coverage_stat!AA22</f>
        <v>0</v>
      </c>
      <c r="AF22" s="10">
        <f>coverage_stat!AB22</f>
        <v>1</v>
      </c>
      <c r="AG22" s="10">
        <f>coverage_stat!AC22</f>
        <v>0</v>
      </c>
      <c r="AH22" s="10">
        <f>coverage_stat!AD22</f>
        <v>0</v>
      </c>
    </row>
    <row r="23" ht="17" spans="1:34">
      <c r="A23" s="10" t="str">
        <f>coverage_stat!A23</f>
        <v>DS01Q22</v>
      </c>
      <c r="B23" s="11" t="str">
        <f>coverage_stat!B23</f>
        <v>be_difficult_to_capture_due_to</v>
      </c>
      <c r="C23" s="12" t="str">
        <f>coverage_stat!C23</f>
        <v>Which limitations make tacit knowledge difficult to capture?</v>
      </c>
      <c r="D23" s="10">
        <f t="shared" si="7"/>
        <v>0.3</v>
      </c>
      <c r="E23" s="10">
        <f t="shared" si="4"/>
        <v>0.29</v>
      </c>
      <c r="F23" s="10">
        <f t="shared" si="5"/>
        <v>0.11</v>
      </c>
      <c r="G23" s="10">
        <f t="shared" si="6"/>
        <v>0.45</v>
      </c>
      <c r="H23" s="10">
        <f>coverage_stat!D23</f>
        <v>0</v>
      </c>
      <c r="I23" s="10">
        <f>coverage_stat!E23</f>
        <v>0</v>
      </c>
      <c r="J23" s="10">
        <f>coverage_stat!F23</f>
        <v>0</v>
      </c>
      <c r="K23" s="10">
        <f>coverage_stat!G23</f>
        <v>1</v>
      </c>
      <c r="L23" s="10">
        <f>coverage_stat!H23</f>
        <v>1</v>
      </c>
      <c r="M23" s="10">
        <f>coverage_stat!I23</f>
        <v>0</v>
      </c>
      <c r="N23" s="10">
        <f>coverage_stat!J23</f>
        <v>0</v>
      </c>
      <c r="O23" s="10">
        <f>coverage_stat!K23</f>
        <v>0</v>
      </c>
      <c r="P23" s="10">
        <f>coverage_stat!L23</f>
        <v>1</v>
      </c>
      <c r="Q23" s="10">
        <f>coverage_stat!M23</f>
        <v>0</v>
      </c>
      <c r="R23" s="10">
        <f>coverage_stat!N23</f>
        <v>0</v>
      </c>
      <c r="S23" s="10">
        <f>coverage_stat!O23</f>
        <v>0</v>
      </c>
      <c r="T23" s="10">
        <f>coverage_stat!P23</f>
        <v>0</v>
      </c>
      <c r="U23" s="10">
        <f>coverage_stat!Q23</f>
        <v>0</v>
      </c>
      <c r="V23" s="10">
        <f>coverage_stat!R23</f>
        <v>0</v>
      </c>
      <c r="W23" s="10">
        <f>coverage_stat!S23</f>
        <v>0</v>
      </c>
      <c r="X23" s="10">
        <f>coverage_stat!T23</f>
        <v>1</v>
      </c>
      <c r="Y23" s="10">
        <f>coverage_stat!U23</f>
        <v>0</v>
      </c>
      <c r="Z23" s="10">
        <f>coverage_stat!V23</f>
        <v>1</v>
      </c>
      <c r="AA23" s="10">
        <f>coverage_stat!W23</f>
        <v>1</v>
      </c>
      <c r="AB23" s="10">
        <f>coverage_stat!X23</f>
        <v>0</v>
      </c>
      <c r="AC23" s="10">
        <f>coverage_stat!Y23</f>
        <v>0</v>
      </c>
      <c r="AD23" s="10">
        <f>coverage_stat!Z23</f>
        <v>1</v>
      </c>
      <c r="AE23" s="10">
        <f>coverage_stat!AA23</f>
        <v>0</v>
      </c>
      <c r="AF23" s="10">
        <f>coverage_stat!AB23</f>
        <v>0</v>
      </c>
      <c r="AG23" s="10">
        <f>coverage_stat!AC23</f>
        <v>1</v>
      </c>
      <c r="AH23" s="10">
        <f>coverage_stat!AD23</f>
        <v>0</v>
      </c>
    </row>
    <row r="24" ht="68" spans="1:34">
      <c r="A24" s="10" t="str">
        <f>coverage_stat!A24</f>
        <v>DS02Q01</v>
      </c>
      <c r="B24" s="11" t="str">
        <f>coverage_stat!B24</f>
        <v>RQ1: What emerging technologies are adopted and how they support tacit knowledge capture and retention?</v>
      </c>
      <c r="C24" s="12" t="str">
        <f>coverage_stat!C24</f>
        <v>What's the mechanism of each technology-enable practice? introduce this from relations among knowledge holders, tacit knowledge, digital technology, organizational dependency, resource dependency, and limitation perspectives.</v>
      </c>
      <c r="D24" s="10">
        <f t="shared" si="7"/>
        <v>0.81</v>
      </c>
      <c r="E24" s="10">
        <f t="shared" si="4"/>
        <v>1</v>
      </c>
      <c r="F24" s="10">
        <f t="shared" si="5"/>
        <v>0.89</v>
      </c>
      <c r="G24" s="10">
        <f t="shared" si="6"/>
        <v>0.64</v>
      </c>
      <c r="H24" s="10">
        <f>coverage_stat!D24</f>
        <v>1</v>
      </c>
      <c r="I24" s="10">
        <f>coverage_stat!E24</f>
        <v>1</v>
      </c>
      <c r="J24" s="10">
        <f>coverage_stat!F24</f>
        <v>1</v>
      </c>
      <c r="K24" s="10">
        <f>coverage_stat!G24</f>
        <v>1</v>
      </c>
      <c r="L24" s="10">
        <f>coverage_stat!H24</f>
        <v>1</v>
      </c>
      <c r="M24" s="10">
        <f>coverage_stat!I24</f>
        <v>1</v>
      </c>
      <c r="N24" s="10">
        <f>coverage_stat!J24</f>
        <v>1</v>
      </c>
      <c r="O24" s="10">
        <f>coverage_stat!K24</f>
        <v>1</v>
      </c>
      <c r="P24" s="10">
        <f>coverage_stat!L24</f>
        <v>1</v>
      </c>
      <c r="Q24" s="10">
        <f>coverage_stat!M24</f>
        <v>1</v>
      </c>
      <c r="R24" s="10">
        <f>coverage_stat!N24</f>
        <v>1</v>
      </c>
      <c r="S24" s="10">
        <f>coverage_stat!O24</f>
        <v>1</v>
      </c>
      <c r="T24" s="10">
        <f>coverage_stat!P24</f>
        <v>1</v>
      </c>
      <c r="U24" s="10">
        <f>coverage_stat!Q24</f>
        <v>1</v>
      </c>
      <c r="V24" s="10">
        <f>coverage_stat!R24</f>
        <v>1</v>
      </c>
      <c r="W24" s="10">
        <f>coverage_stat!S24</f>
        <v>0</v>
      </c>
      <c r="X24" s="10">
        <f>coverage_stat!T24</f>
        <v>0</v>
      </c>
      <c r="Y24" s="10">
        <f>coverage_stat!U24</f>
        <v>1</v>
      </c>
      <c r="Z24" s="10">
        <f>coverage_stat!V24</f>
        <v>1</v>
      </c>
      <c r="AA24" s="10">
        <f>coverage_stat!W24</f>
        <v>1</v>
      </c>
      <c r="AB24" s="10">
        <f>coverage_stat!X24</f>
        <v>1</v>
      </c>
      <c r="AC24" s="10">
        <f>coverage_stat!Y24</f>
        <v>1</v>
      </c>
      <c r="AD24" s="10">
        <f>coverage_stat!Z24</f>
        <v>0</v>
      </c>
      <c r="AE24" s="10">
        <f>coverage_stat!AA24</f>
        <v>0</v>
      </c>
      <c r="AF24" s="10">
        <f>coverage_stat!AB24</f>
        <v>0</v>
      </c>
      <c r="AG24" s="10">
        <f>coverage_stat!AC24</f>
        <v>1</v>
      </c>
      <c r="AH24" s="10">
        <f>coverage_stat!AD24</f>
        <v>1</v>
      </c>
    </row>
    <row r="25" ht="68" spans="1:34">
      <c r="A25" s="10" t="str">
        <f>coverage_stat!A25</f>
        <v>DS02Q02</v>
      </c>
      <c r="B25" s="11" t="str">
        <f>coverage_stat!B25</f>
        <v>RQ1: What emerging technologies are adopted and how they support tacit knowledge capture and retention?</v>
      </c>
      <c r="C25" s="12" t="str">
        <f>coverage_stat!C25</f>
        <v>What's the mechanism of each traditional human-central practice? introduce this from relations among knowledge holders, tacit knowledge, organizational dependency, resource dependency, and limitation perspectives.</v>
      </c>
      <c r="D25" s="10">
        <f t="shared" si="7"/>
        <v>0.48</v>
      </c>
      <c r="E25" s="10">
        <f t="shared" si="4"/>
        <v>0.71</v>
      </c>
      <c r="F25" s="10">
        <f t="shared" si="5"/>
        <v>0.56</v>
      </c>
      <c r="G25" s="10">
        <f t="shared" si="6"/>
        <v>0.27</v>
      </c>
      <c r="H25" s="10">
        <f>coverage_stat!D25</f>
        <v>0</v>
      </c>
      <c r="I25" s="10">
        <f>coverage_stat!E25</f>
        <v>1</v>
      </c>
      <c r="J25" s="10">
        <f>coverage_stat!F25</f>
        <v>1</v>
      </c>
      <c r="K25" s="10">
        <f>coverage_stat!G25</f>
        <v>1</v>
      </c>
      <c r="L25" s="10">
        <f>coverage_stat!H25</f>
        <v>1</v>
      </c>
      <c r="M25" s="10">
        <f>coverage_stat!I25</f>
        <v>0</v>
      </c>
      <c r="N25" s="10">
        <f>coverage_stat!J25</f>
        <v>1</v>
      </c>
      <c r="O25" s="10">
        <f>coverage_stat!K25</f>
        <v>0</v>
      </c>
      <c r="P25" s="10">
        <f>coverage_stat!L25</f>
        <v>1</v>
      </c>
      <c r="Q25" s="10">
        <f>coverage_stat!M25</f>
        <v>1</v>
      </c>
      <c r="R25" s="10">
        <f>coverage_stat!N25</f>
        <v>1</v>
      </c>
      <c r="S25" s="10">
        <f>coverage_stat!O25</f>
        <v>0</v>
      </c>
      <c r="T25" s="10">
        <f>coverage_stat!P25</f>
        <v>1</v>
      </c>
      <c r="U25" s="10">
        <f>coverage_stat!Q25</f>
        <v>0</v>
      </c>
      <c r="V25" s="10">
        <f>coverage_stat!R25</f>
        <v>0</v>
      </c>
      <c r="W25" s="10">
        <f>coverage_stat!S25</f>
        <v>1</v>
      </c>
      <c r="X25" s="10">
        <f>coverage_stat!T25</f>
        <v>1</v>
      </c>
      <c r="Y25" s="10">
        <f>coverage_stat!U25</f>
        <v>0</v>
      </c>
      <c r="Z25" s="10">
        <f>coverage_stat!V25</f>
        <v>1</v>
      </c>
      <c r="AA25" s="10">
        <f>coverage_stat!W25</f>
        <v>0</v>
      </c>
      <c r="AB25" s="10">
        <f>coverage_stat!X25</f>
        <v>0</v>
      </c>
      <c r="AC25" s="10">
        <f>coverage_stat!Y25</f>
        <v>0</v>
      </c>
      <c r="AD25" s="10">
        <f>coverage_stat!Z25</f>
        <v>0</v>
      </c>
      <c r="AE25" s="10">
        <f>coverage_stat!AA25</f>
        <v>0</v>
      </c>
      <c r="AF25" s="10">
        <f>coverage_stat!AB25</f>
        <v>0</v>
      </c>
      <c r="AG25" s="10">
        <f>coverage_stat!AC25</f>
        <v>1</v>
      </c>
      <c r="AH25" s="10">
        <f>coverage_stat!AD25</f>
        <v>0</v>
      </c>
    </row>
    <row r="26" ht="34" spans="1:34">
      <c r="A26" s="10" t="str">
        <f>coverage_stat!A26</f>
        <v>DS03Q01</v>
      </c>
      <c r="B26" s="11" t="str">
        <f>coverage_stat!B26</f>
        <v>RQ2: What resources and capabilities are required, such as data input, expert participation, technical infrastructure, and organizational resources?</v>
      </c>
      <c r="C26" s="12" t="str">
        <f>coverage_stat!C26</f>
        <v>Which tangible organizational asset is required for the technology-enabled practices?</v>
      </c>
      <c r="D26" s="10">
        <f t="shared" si="7"/>
        <v>0.37</v>
      </c>
      <c r="E26" s="10">
        <f t="shared" si="4"/>
        <v>0.43</v>
      </c>
      <c r="F26" s="10">
        <f t="shared" si="5"/>
        <v>0.44</v>
      </c>
      <c r="G26" s="10">
        <f t="shared" si="6"/>
        <v>0.27</v>
      </c>
      <c r="H26" s="10">
        <f>coverage_stat!D26</f>
        <v>1</v>
      </c>
      <c r="I26" s="10">
        <f>coverage_stat!E26</f>
        <v>1</v>
      </c>
      <c r="J26" s="10">
        <f>coverage_stat!F26</f>
        <v>0</v>
      </c>
      <c r="K26" s="10">
        <f>coverage_stat!G26</f>
        <v>0</v>
      </c>
      <c r="L26" s="10">
        <f>coverage_stat!H26</f>
        <v>1</v>
      </c>
      <c r="M26" s="10">
        <f>coverage_stat!I26</f>
        <v>0</v>
      </c>
      <c r="N26" s="10">
        <f>coverage_stat!J26</f>
        <v>0</v>
      </c>
      <c r="O26" s="10">
        <f>coverage_stat!K26</f>
        <v>1</v>
      </c>
      <c r="P26" s="10">
        <f>coverage_stat!L26</f>
        <v>0</v>
      </c>
      <c r="Q26" s="10">
        <f>coverage_stat!M26</f>
        <v>1</v>
      </c>
      <c r="R26" s="10">
        <f>coverage_stat!N26</f>
        <v>1</v>
      </c>
      <c r="S26" s="10">
        <f>coverage_stat!O26</f>
        <v>0</v>
      </c>
      <c r="T26" s="10">
        <f>coverage_stat!P26</f>
        <v>0</v>
      </c>
      <c r="U26" s="10">
        <f>coverage_stat!Q26</f>
        <v>0</v>
      </c>
      <c r="V26" s="10">
        <f>coverage_stat!R26</f>
        <v>0</v>
      </c>
      <c r="W26" s="10">
        <f>coverage_stat!S26</f>
        <v>1</v>
      </c>
      <c r="X26" s="10">
        <f>coverage_stat!T26</f>
        <v>0</v>
      </c>
      <c r="Y26" s="10">
        <f>coverage_stat!U26</f>
        <v>0</v>
      </c>
      <c r="Z26" s="10">
        <f>coverage_stat!V26</f>
        <v>0</v>
      </c>
      <c r="AA26" s="10">
        <f>coverage_stat!W26</f>
        <v>1</v>
      </c>
      <c r="AB26" s="10">
        <f>coverage_stat!X26</f>
        <v>0</v>
      </c>
      <c r="AC26" s="10">
        <f>coverage_stat!Y26</f>
        <v>0</v>
      </c>
      <c r="AD26" s="10">
        <f>coverage_stat!Z26</f>
        <v>0</v>
      </c>
      <c r="AE26" s="10">
        <f>coverage_stat!AA26</f>
        <v>0</v>
      </c>
      <c r="AF26" s="10">
        <f>coverage_stat!AB26</f>
        <v>1</v>
      </c>
      <c r="AG26" s="10">
        <f>coverage_stat!AC26</f>
        <v>0</v>
      </c>
      <c r="AH26" s="10">
        <f>coverage_stat!AD26</f>
        <v>1</v>
      </c>
    </row>
    <row r="27" ht="34" spans="1:34">
      <c r="A27" s="10" t="str">
        <f>coverage_stat!A27</f>
        <v>DS03Q02</v>
      </c>
      <c r="B27" s="11" t="str">
        <f>coverage_stat!B27</f>
        <v>RQ2: What resources and capabilities are required, such as data input, expert participation, technical infrastructure, and organizational resources?</v>
      </c>
      <c r="C27" s="12" t="str">
        <f>coverage_stat!C27</f>
        <v>Which external environment condition is required for the technology-enabled practices?</v>
      </c>
      <c r="D27" s="10">
        <f t="shared" si="7"/>
        <v>0.41</v>
      </c>
      <c r="E27" s="10">
        <f t="shared" si="4"/>
        <v>0.71</v>
      </c>
      <c r="F27" s="10">
        <f t="shared" si="5"/>
        <v>0.22</v>
      </c>
      <c r="G27" s="10">
        <f t="shared" si="6"/>
        <v>0.36</v>
      </c>
      <c r="H27" s="10">
        <f>coverage_stat!D27</f>
        <v>1</v>
      </c>
      <c r="I27" s="10">
        <f>coverage_stat!E27</f>
        <v>1</v>
      </c>
      <c r="J27" s="10">
        <f>coverage_stat!F27</f>
        <v>1</v>
      </c>
      <c r="K27" s="10">
        <f>coverage_stat!G27</f>
        <v>0</v>
      </c>
      <c r="L27" s="10">
        <f>coverage_stat!H27</f>
        <v>1</v>
      </c>
      <c r="M27" s="10">
        <f>coverage_stat!I27</f>
        <v>0</v>
      </c>
      <c r="N27" s="10">
        <f>coverage_stat!J27</f>
        <v>1</v>
      </c>
      <c r="O27" s="10">
        <f>coverage_stat!K27</f>
        <v>0</v>
      </c>
      <c r="P27" s="10">
        <f>coverage_stat!L27</f>
        <v>0</v>
      </c>
      <c r="Q27" s="10">
        <f>coverage_stat!M27</f>
        <v>0</v>
      </c>
      <c r="R27" s="10">
        <f>coverage_stat!N27</f>
        <v>1</v>
      </c>
      <c r="S27" s="10">
        <f>coverage_stat!O27</f>
        <v>0</v>
      </c>
      <c r="T27" s="10">
        <f>coverage_stat!P27</f>
        <v>0</v>
      </c>
      <c r="U27" s="10">
        <f>coverage_stat!Q27</f>
        <v>0</v>
      </c>
      <c r="V27" s="10">
        <f>coverage_stat!R27</f>
        <v>1</v>
      </c>
      <c r="W27" s="10">
        <f>coverage_stat!S27</f>
        <v>0</v>
      </c>
      <c r="X27" s="10">
        <f>coverage_stat!T27</f>
        <v>0</v>
      </c>
      <c r="Y27" s="10">
        <f>coverage_stat!U27</f>
        <v>0</v>
      </c>
      <c r="Z27" s="10">
        <f>coverage_stat!V27</f>
        <v>0</v>
      </c>
      <c r="AA27" s="10">
        <f>coverage_stat!W27</f>
        <v>1</v>
      </c>
      <c r="AB27" s="10">
        <f>coverage_stat!X27</f>
        <v>0</v>
      </c>
      <c r="AC27" s="10">
        <f>coverage_stat!Y27</f>
        <v>0</v>
      </c>
      <c r="AD27" s="10">
        <f>coverage_stat!Z27</f>
        <v>1</v>
      </c>
      <c r="AE27" s="10">
        <f>coverage_stat!AA27</f>
        <v>1</v>
      </c>
      <c r="AF27" s="10">
        <f>coverage_stat!AB27</f>
        <v>0</v>
      </c>
      <c r="AG27" s="10">
        <f>coverage_stat!AC27</f>
        <v>0</v>
      </c>
      <c r="AH27" s="10">
        <f>coverage_stat!AD27</f>
        <v>1</v>
      </c>
    </row>
    <row r="28" ht="51" spans="1:34">
      <c r="A28" s="10" t="str">
        <f>coverage_stat!A28</f>
        <v>DS04Q01</v>
      </c>
      <c r="B28" s="11" t="str">
        <f>coverage_stat!B28</f>
        <v>RQ3: How organizational culture influence effectiveness, such as culture, trust, leadership support, motivation, and expert participation?</v>
      </c>
      <c r="C28" s="12" t="str">
        <f>coverage_stat!C28</f>
        <v>Whether organization dependency like incentive or reward was used to encourage knowledge holders to actively participate in technology-enable practices?</v>
      </c>
      <c r="D28" s="10">
        <f t="shared" si="7"/>
        <v>0</v>
      </c>
      <c r="E28" s="10">
        <f>ROUND(SUM(H28:N28)/COUNT(H28:N28),2)</f>
        <v>0</v>
      </c>
      <c r="F28" s="10">
        <f>ROUND(SUM(O28:W28)/COUNT(O28:W28),2)</f>
        <v>0</v>
      </c>
      <c r="G28" s="10">
        <f>ROUND(SUM(X28:AH28)/COUNT(X28:AH28),2)</f>
        <v>0</v>
      </c>
      <c r="H28" s="10">
        <f>coverage_stat!D28</f>
        <v>0</v>
      </c>
      <c r="I28" s="10">
        <f>coverage_stat!E28</f>
        <v>0</v>
      </c>
      <c r="J28" s="10">
        <f>coverage_stat!F28</f>
        <v>0</v>
      </c>
      <c r="K28" s="10">
        <f>coverage_stat!G28</f>
        <v>0</v>
      </c>
      <c r="L28" s="10">
        <f>coverage_stat!H28</f>
        <v>0</v>
      </c>
      <c r="M28" s="10">
        <f>coverage_stat!I28</f>
        <v>0</v>
      </c>
      <c r="N28" s="10">
        <f>coverage_stat!J28</f>
        <v>0</v>
      </c>
      <c r="O28" s="10">
        <f>coverage_stat!K28</f>
        <v>0</v>
      </c>
      <c r="P28" s="10">
        <f>coverage_stat!L28</f>
        <v>0</v>
      </c>
      <c r="Q28" s="10">
        <f>coverage_stat!M28</f>
        <v>0</v>
      </c>
      <c r="R28" s="10">
        <f>coverage_stat!N28</f>
        <v>0</v>
      </c>
      <c r="S28" s="10">
        <f>coverage_stat!O28</f>
        <v>0</v>
      </c>
      <c r="T28" s="10">
        <f>coverage_stat!P28</f>
        <v>0</v>
      </c>
      <c r="U28" s="10">
        <f>coverage_stat!Q28</f>
        <v>0</v>
      </c>
      <c r="V28" s="10">
        <f>coverage_stat!R28</f>
        <v>0</v>
      </c>
      <c r="W28" s="10">
        <f>coverage_stat!S28</f>
        <v>0</v>
      </c>
      <c r="X28" s="10">
        <f>coverage_stat!T28</f>
        <v>0</v>
      </c>
      <c r="Y28" s="10">
        <f>coverage_stat!U28</f>
        <v>0</v>
      </c>
      <c r="Z28" s="10">
        <f>coverage_stat!V28</f>
        <v>0</v>
      </c>
      <c r="AA28" s="10">
        <f>coverage_stat!W28</f>
        <v>0</v>
      </c>
      <c r="AB28" s="10">
        <f>coverage_stat!X28</f>
        <v>0</v>
      </c>
      <c r="AC28" s="10">
        <f>coverage_stat!Y28</f>
        <v>0</v>
      </c>
      <c r="AD28" s="10">
        <f>coverage_stat!Z28</f>
        <v>0</v>
      </c>
      <c r="AE28" s="10">
        <f>coverage_stat!AA28</f>
        <v>0</v>
      </c>
      <c r="AF28" s="10">
        <f>coverage_stat!AB28</f>
        <v>0</v>
      </c>
      <c r="AG28" s="10">
        <f>coverage_stat!AC28</f>
        <v>0</v>
      </c>
      <c r="AH28" s="10">
        <f>coverage_stat!AD28</f>
        <v>0</v>
      </c>
    </row>
    <row r="29" ht="51" spans="1:34">
      <c r="A29" s="10" t="str">
        <f>coverage_stat!A29</f>
        <v>DS04Q02</v>
      </c>
      <c r="B29" s="11" t="str">
        <f>coverage_stat!B29</f>
        <v>RQ3: How organizational culture influence effectiveness, such as culture, trust, leadership support, motivation, and expert participation?</v>
      </c>
      <c r="C29" s="12" t="str">
        <f>coverage_stat!C29</f>
        <v>Whether organization dependency like trust or safety climate was used to encourage knowledge holders to actively participate in technology-enable practices?</v>
      </c>
      <c r="D29" s="10">
        <f t="shared" si="7"/>
        <v>0</v>
      </c>
      <c r="E29" s="10">
        <f>ROUND(SUM(H29:N29)/COUNT(H29:N29),2)</f>
        <v>0</v>
      </c>
      <c r="F29" s="10">
        <f>ROUND(SUM(O29:W29)/COUNT(O29:W29),2)</f>
        <v>0</v>
      </c>
      <c r="G29" s="10">
        <f>ROUND(SUM(X29:AH29)/COUNT(X29:AH29),2)</f>
        <v>0</v>
      </c>
      <c r="H29" s="10">
        <f>coverage_stat!D29</f>
        <v>0</v>
      </c>
      <c r="I29" s="10">
        <f>coverage_stat!E29</f>
        <v>0</v>
      </c>
      <c r="J29" s="10">
        <f>coverage_stat!F29</f>
        <v>0</v>
      </c>
      <c r="K29" s="10">
        <f>coverage_stat!G29</f>
        <v>0</v>
      </c>
      <c r="L29" s="10">
        <f>coverage_stat!H29</f>
        <v>0</v>
      </c>
      <c r="M29" s="10">
        <f>coverage_stat!I29</f>
        <v>0</v>
      </c>
      <c r="N29" s="10">
        <f>coverage_stat!J29</f>
        <v>0</v>
      </c>
      <c r="O29" s="10">
        <f>coverage_stat!K29</f>
        <v>0</v>
      </c>
      <c r="P29" s="10">
        <f>coverage_stat!L29</f>
        <v>0</v>
      </c>
      <c r="Q29" s="10">
        <f>coverage_stat!M29</f>
        <v>0</v>
      </c>
      <c r="R29" s="10">
        <f>coverage_stat!N29</f>
        <v>0</v>
      </c>
      <c r="S29" s="10">
        <f>coverage_stat!O29</f>
        <v>0</v>
      </c>
      <c r="T29" s="10">
        <f>coverage_stat!P29</f>
        <v>0</v>
      </c>
      <c r="U29" s="10">
        <f>coverage_stat!Q29</f>
        <v>0</v>
      </c>
      <c r="V29" s="10">
        <f>coverage_stat!R29</f>
        <v>0</v>
      </c>
      <c r="W29" s="10">
        <f>coverage_stat!S29</f>
        <v>0</v>
      </c>
      <c r="X29" s="10">
        <f>coverage_stat!T29</f>
        <v>0</v>
      </c>
      <c r="Y29" s="10">
        <f>coverage_stat!U29</f>
        <v>0</v>
      </c>
      <c r="Z29" s="10">
        <f>coverage_stat!V29</f>
        <v>0</v>
      </c>
      <c r="AA29" s="10">
        <f>coverage_stat!W29</f>
        <v>0</v>
      </c>
      <c r="AB29" s="10">
        <f>coverage_stat!X29</f>
        <v>0</v>
      </c>
      <c r="AC29" s="10">
        <f>coverage_stat!Y29</f>
        <v>0</v>
      </c>
      <c r="AD29" s="10">
        <f>coverage_stat!Z29</f>
        <v>0</v>
      </c>
      <c r="AE29" s="10">
        <f>coverage_stat!AA29</f>
        <v>0</v>
      </c>
      <c r="AF29" s="10">
        <f>coverage_stat!AB29</f>
        <v>0</v>
      </c>
      <c r="AG29" s="10">
        <f>coverage_stat!AC29</f>
        <v>0</v>
      </c>
      <c r="AH29" s="10">
        <f>coverage_stat!AD29</f>
        <v>0</v>
      </c>
    </row>
    <row r="30" ht="34" spans="1:34">
      <c r="A30" s="10" t="str">
        <f>coverage_stat!A30</f>
        <v>DS05Q01</v>
      </c>
      <c r="B30" s="11" t="str">
        <f>coverage_stat!B30</f>
        <v>What inherent vulnerability, shortcoming, or failure points the knowledge retention practices face?</v>
      </c>
      <c r="C30" s="12" t="str">
        <f>coverage_stat!C30</f>
        <v>What inherent vulnerability, shortcoming, or failure point of  the traditional human-central practices?</v>
      </c>
      <c r="D30" s="10">
        <f t="shared" si="7"/>
        <v>0.74</v>
      </c>
      <c r="E30" s="10">
        <f>ROUND(SUM(H30:N30)/COUNT(H30:N30),2)</f>
        <v>0.86</v>
      </c>
      <c r="F30" s="10">
        <f>ROUND(SUM(O30:W30)/COUNT(O30:W30),2)</f>
        <v>0.89</v>
      </c>
      <c r="G30" s="10">
        <f>ROUND(SUM(X30:AH30)/COUNT(X30:AH30),2)</f>
        <v>0.55</v>
      </c>
      <c r="H30" s="10">
        <f>coverage_stat!D30</f>
        <v>1</v>
      </c>
      <c r="I30" s="10">
        <f>coverage_stat!E30</f>
        <v>1</v>
      </c>
      <c r="J30" s="10">
        <f>coverage_stat!F30</f>
        <v>0</v>
      </c>
      <c r="K30" s="10">
        <f>coverage_stat!G30</f>
        <v>1</v>
      </c>
      <c r="L30" s="10">
        <f>coverage_stat!H30</f>
        <v>1</v>
      </c>
      <c r="M30" s="10">
        <f>coverage_stat!I30</f>
        <v>1</v>
      </c>
      <c r="N30" s="10">
        <f>coverage_stat!J30</f>
        <v>1</v>
      </c>
      <c r="O30" s="10">
        <f>coverage_stat!K30</f>
        <v>1</v>
      </c>
      <c r="P30" s="10">
        <f>coverage_stat!L30</f>
        <v>1</v>
      </c>
      <c r="Q30" s="10">
        <f>coverage_stat!M30</f>
        <v>1</v>
      </c>
      <c r="R30" s="10">
        <f>coverage_stat!N30</f>
        <v>1</v>
      </c>
      <c r="S30" s="10">
        <f>coverage_stat!O30</f>
        <v>1</v>
      </c>
      <c r="T30" s="10">
        <f>coverage_stat!P30</f>
        <v>0</v>
      </c>
      <c r="U30" s="10">
        <f>coverage_stat!Q30</f>
        <v>1</v>
      </c>
      <c r="V30" s="10">
        <f>coverage_stat!R30</f>
        <v>1</v>
      </c>
      <c r="W30" s="10">
        <f>coverage_stat!S30</f>
        <v>1</v>
      </c>
      <c r="X30" s="10">
        <f>coverage_stat!T30</f>
        <v>1</v>
      </c>
      <c r="Y30" s="10">
        <f>coverage_stat!U30</f>
        <v>1</v>
      </c>
      <c r="Z30" s="10">
        <f>coverage_stat!V30</f>
        <v>1</v>
      </c>
      <c r="AA30" s="10">
        <f>coverage_stat!W30</f>
        <v>1</v>
      </c>
      <c r="AB30" s="10">
        <f>coverage_stat!X30</f>
        <v>1</v>
      </c>
      <c r="AC30" s="10">
        <f>coverage_stat!Y30</f>
        <v>1</v>
      </c>
      <c r="AD30" s="10">
        <f>coverage_stat!Z30</f>
        <v>0</v>
      </c>
      <c r="AE30" s="10">
        <f>coverage_stat!AA30</f>
        <v>0</v>
      </c>
      <c r="AF30" s="10">
        <f>coverage_stat!AB30</f>
        <v>0</v>
      </c>
      <c r="AG30" s="10">
        <f>coverage_stat!AC30</f>
        <v>0</v>
      </c>
      <c r="AH30" s="10">
        <f>coverage_stat!AD30</f>
        <v>0</v>
      </c>
    </row>
    <row r="31" ht="34" spans="1:34">
      <c r="A31" s="10" t="str">
        <f>coverage_stat!A31</f>
        <v>DS05Q02</v>
      </c>
      <c r="B31" s="11" t="str">
        <f>coverage_stat!B31</f>
        <v>What inherent vulnerability, shortcoming, or failure points the knowledge retention practices face?</v>
      </c>
      <c r="C31" s="12" t="str">
        <f>coverage_stat!C31</f>
        <v>What inherent vulnerability, shortcoming, or failure point of  the technology-enabled practices?</v>
      </c>
      <c r="D31" s="10">
        <f>ROUND(SUM(H31:AH31)/COUNT(H31:AH31),2)</f>
        <v>0.81</v>
      </c>
      <c r="E31" s="10">
        <f>ROUND(SUM(H31:N31)/COUNT(H31:N31),2)</f>
        <v>0.86</v>
      </c>
      <c r="F31" s="10">
        <f>ROUND(SUM(O31:W31)/COUNT(O31:W31),2)</f>
        <v>0.56</v>
      </c>
      <c r="G31" s="10">
        <f>ROUND(SUM(X31:AH31)/COUNT(X31:AH31),2)</f>
        <v>1</v>
      </c>
      <c r="H31" s="10">
        <f>coverage_stat!D31</f>
        <v>1</v>
      </c>
      <c r="I31" s="10">
        <f>coverage_stat!E31</f>
        <v>1</v>
      </c>
      <c r="J31" s="10">
        <f>coverage_stat!F31</f>
        <v>1</v>
      </c>
      <c r="K31" s="10">
        <f>coverage_stat!G31</f>
        <v>1</v>
      </c>
      <c r="L31" s="10">
        <f>coverage_stat!H31</f>
        <v>0</v>
      </c>
      <c r="M31" s="10">
        <f>coverage_stat!I31</f>
        <v>1</v>
      </c>
      <c r="N31" s="10">
        <f>coverage_stat!J31</f>
        <v>1</v>
      </c>
      <c r="O31" s="10">
        <f>coverage_stat!K31</f>
        <v>1</v>
      </c>
      <c r="P31" s="10">
        <f>coverage_stat!L31</f>
        <v>1</v>
      </c>
      <c r="Q31" s="10">
        <f>coverage_stat!M31</f>
        <v>0</v>
      </c>
      <c r="R31" s="10">
        <f>coverage_stat!N31</f>
        <v>1</v>
      </c>
      <c r="S31" s="10">
        <f>coverage_stat!O31</f>
        <v>1</v>
      </c>
      <c r="T31" s="10">
        <f>coverage_stat!P31</f>
        <v>0</v>
      </c>
      <c r="U31" s="10">
        <f>coverage_stat!Q31</f>
        <v>1</v>
      </c>
      <c r="V31" s="10">
        <f>coverage_stat!R31</f>
        <v>0</v>
      </c>
      <c r="W31" s="10">
        <f>coverage_stat!S31</f>
        <v>0</v>
      </c>
      <c r="X31" s="10">
        <f>coverage_stat!T31</f>
        <v>1</v>
      </c>
      <c r="Y31" s="10">
        <f>coverage_stat!U31</f>
        <v>1</v>
      </c>
      <c r="Z31" s="10">
        <f>coverage_stat!V31</f>
        <v>1</v>
      </c>
      <c r="AA31" s="10">
        <f>coverage_stat!W31</f>
        <v>1</v>
      </c>
      <c r="AB31" s="10">
        <f>coverage_stat!X31</f>
        <v>1</v>
      </c>
      <c r="AC31" s="10">
        <f>coverage_stat!Y31</f>
        <v>1</v>
      </c>
      <c r="AD31" s="10">
        <f>coverage_stat!Z31</f>
        <v>1</v>
      </c>
      <c r="AE31" s="10">
        <f>coverage_stat!AA31</f>
        <v>1</v>
      </c>
      <c r="AF31" s="10">
        <f>coverage_stat!AB31</f>
        <v>1</v>
      </c>
      <c r="AG31" s="10">
        <f>coverage_stat!AC31</f>
        <v>1</v>
      </c>
      <c r="AH31" s="10">
        <f>coverage_stat!AD31</f>
        <v>1</v>
      </c>
    </row>
    <row r="32" ht="68" spans="1:34">
      <c r="A32" s="13" t="str">
        <f>coverage_stat!A32</f>
        <v>DS05Q03</v>
      </c>
      <c r="B32" s="14" t="str">
        <f>coverage_stat!B32</f>
        <v>What inherent vulnerability, shortcoming, or failure points the knowledge retention practices face?</v>
      </c>
      <c r="C32" s="15" t="str">
        <f>coverage_stat!C32</f>
        <v>Which limitations the technology-enabled practices resolve or at least mitigate the traditional human-central practices have faced?</v>
      </c>
      <c r="D32" s="13">
        <f>ROUND(SUM(H32:AH32)/COUNT(H32:AH32),2)</f>
        <v>0.26</v>
      </c>
      <c r="E32" s="13">
        <f>ROUND(SUM(H32:N32)/COUNT(H32:N32),2)</f>
        <v>0</v>
      </c>
      <c r="F32" s="13">
        <f>ROUND(SUM(O32:W32)/COUNT(O32:W32),2)</f>
        <v>0.56</v>
      </c>
      <c r="G32" s="13">
        <f>ROUND(SUM(X32:AH32)/COUNT(X32:AH32),2)</f>
        <v>0.18</v>
      </c>
      <c r="H32" s="13">
        <f>coverage_stat!D32</f>
        <v>0</v>
      </c>
      <c r="I32" s="13">
        <f>coverage_stat!E32</f>
        <v>0</v>
      </c>
      <c r="J32" s="13">
        <f>coverage_stat!F32</f>
        <v>0</v>
      </c>
      <c r="K32" s="13">
        <f>coverage_stat!G32</f>
        <v>0</v>
      </c>
      <c r="L32" s="13">
        <f>coverage_stat!H32</f>
        <v>0</v>
      </c>
      <c r="M32" s="13">
        <f>coverage_stat!I32</f>
        <v>0</v>
      </c>
      <c r="N32" s="13">
        <f>coverage_stat!J32</f>
        <v>0</v>
      </c>
      <c r="O32" s="13">
        <f>coverage_stat!K32</f>
        <v>0</v>
      </c>
      <c r="P32" s="13">
        <f>coverage_stat!L32</f>
        <v>1</v>
      </c>
      <c r="Q32" s="13">
        <f>coverage_stat!M32</f>
        <v>0</v>
      </c>
      <c r="R32" s="13">
        <f>coverage_stat!N32</f>
        <v>1</v>
      </c>
      <c r="S32" s="13">
        <f>coverage_stat!O32</f>
        <v>0</v>
      </c>
      <c r="T32" s="13">
        <f>coverage_stat!P32</f>
        <v>0</v>
      </c>
      <c r="U32" s="13">
        <f>coverage_stat!Q32</f>
        <v>1</v>
      </c>
      <c r="V32" s="13">
        <f>coverage_stat!R32</f>
        <v>1</v>
      </c>
      <c r="W32" s="13">
        <f>coverage_stat!S32</f>
        <v>1</v>
      </c>
      <c r="X32" s="13">
        <f>coverage_stat!T32</f>
        <v>0</v>
      </c>
      <c r="Y32" s="13">
        <f>coverage_stat!U32</f>
        <v>1</v>
      </c>
      <c r="Z32" s="13">
        <f>coverage_stat!V32</f>
        <v>0</v>
      </c>
      <c r="AA32" s="13">
        <f>coverage_stat!W32</f>
        <v>0</v>
      </c>
      <c r="AB32" s="13">
        <f>coverage_stat!X32</f>
        <v>0</v>
      </c>
      <c r="AC32" s="13">
        <f>coverage_stat!Y32</f>
        <v>0</v>
      </c>
      <c r="AD32" s="13">
        <f>coverage_stat!Z32</f>
        <v>0</v>
      </c>
      <c r="AE32" s="13">
        <f>coverage_stat!AA32</f>
        <v>1</v>
      </c>
      <c r="AF32" s="13">
        <f>coverage_stat!AB32</f>
        <v>0</v>
      </c>
      <c r="AG32" s="13">
        <f>coverage_stat!AC32</f>
        <v>0</v>
      </c>
      <c r="AH32" s="13">
        <f>coverage_stat!AD32</f>
        <v>0</v>
      </c>
    </row>
    <row r="33" s="3" customFormat="1" spans="1:34">
      <c r="A33" s="16" t="s">
        <v>38</v>
      </c>
      <c r="B33" s="17"/>
      <c r="C33" s="18"/>
      <c r="D33" s="16">
        <f>ROUND(COUNTIF(D2:D32,"&lt;&gt;0")/COUNT(D2:D32),2)</f>
        <v>0.94</v>
      </c>
      <c r="E33" s="16">
        <f>ROUND(COUNTIF(E2:E32,"&lt;&gt;0")/COUNT(E2:E32),2)</f>
        <v>0.87</v>
      </c>
      <c r="F33" s="16">
        <f t="shared" ref="F33:L33" si="8">ROUND(COUNTIF(F2:F32,"&lt;&gt;0")/COUNT(F2:F32),2)</f>
        <v>0.94</v>
      </c>
      <c r="G33" s="16">
        <f t="shared" si="8"/>
        <v>0.94</v>
      </c>
      <c r="H33" s="16">
        <f t="shared" si="8"/>
        <v>0.68</v>
      </c>
      <c r="I33" s="16">
        <f t="shared" si="8"/>
        <v>0.68</v>
      </c>
      <c r="J33" s="16">
        <f t="shared" si="8"/>
        <v>0.58</v>
      </c>
      <c r="K33" s="16">
        <f t="shared" si="8"/>
        <v>0.48</v>
      </c>
      <c r="L33" s="16">
        <f t="shared" si="8"/>
        <v>0.61</v>
      </c>
      <c r="M33" s="16">
        <f t="shared" ref="M33:U33" si="9">ROUND(COUNTIF(M2:M32,"&lt;&gt;0")/COUNT(M2:M32),2)</f>
        <v>0.52</v>
      </c>
      <c r="N33" s="16">
        <f t="shared" si="9"/>
        <v>0.58</v>
      </c>
      <c r="O33" s="16">
        <f t="shared" si="9"/>
        <v>0.55</v>
      </c>
      <c r="P33" s="16">
        <f t="shared" si="9"/>
        <v>0.61</v>
      </c>
      <c r="Q33" s="16">
        <f t="shared" si="9"/>
        <v>0.48</v>
      </c>
      <c r="R33" s="16">
        <f t="shared" si="9"/>
        <v>0.68</v>
      </c>
      <c r="S33" s="16">
        <f t="shared" si="9"/>
        <v>0.52</v>
      </c>
      <c r="T33" s="16">
        <f t="shared" si="9"/>
        <v>0.52</v>
      </c>
      <c r="U33" s="16">
        <f t="shared" si="9"/>
        <v>0.61</v>
      </c>
      <c r="V33" s="16">
        <f t="shared" ref="V33:AE33" si="10">ROUND(COUNTIF(V2:V32,"&lt;&gt;0")/COUNT(V2:V32),2)</f>
        <v>0.52</v>
      </c>
      <c r="W33" s="16">
        <f t="shared" si="10"/>
        <v>0.55</v>
      </c>
      <c r="X33" s="16">
        <f t="shared" si="10"/>
        <v>0.52</v>
      </c>
      <c r="Y33" s="16">
        <f t="shared" si="10"/>
        <v>0.45</v>
      </c>
      <c r="Z33" s="16">
        <f t="shared" si="10"/>
        <v>0.65</v>
      </c>
      <c r="AA33" s="16">
        <f t="shared" si="10"/>
        <v>0.52</v>
      </c>
      <c r="AB33" s="16">
        <f t="shared" si="10"/>
        <v>0.48</v>
      </c>
      <c r="AC33" s="16">
        <f t="shared" si="10"/>
        <v>0.55</v>
      </c>
      <c r="AD33" s="16">
        <f t="shared" si="10"/>
        <v>0.52</v>
      </c>
      <c r="AE33" s="16">
        <f t="shared" si="10"/>
        <v>0.39</v>
      </c>
      <c r="AF33" s="16">
        <f>ROUND(COUNTIF(AF2:AF32,"&lt;&gt;0")/COUNT(AF2:AF32),2)</f>
        <v>0.52</v>
      </c>
      <c r="AG33" s="16">
        <f>ROUND(COUNTIF(AG2:AG32,"&lt;&gt;0")/COUNT(AG2:AG32),2)</f>
        <v>0.39</v>
      </c>
      <c r="AH33" s="16">
        <f>ROUND(COUNTIF(AH2:AH32,"&lt;&gt;0")/COUNT(AH2:AH32),2)</f>
        <v>0.61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2"/>
  <sheetViews>
    <sheetView workbookViewId="0">
      <selection activeCell="H22" sqref="H22"/>
    </sheetView>
  </sheetViews>
  <sheetFormatPr defaultColWidth="8.4375" defaultRowHeight="16.8"/>
  <cols>
    <col min="1" max="16384" width="8.4375" style="1"/>
  </cols>
  <sheetData>
    <row r="1" s="1" customFormat="1" spans="1:30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55</v>
      </c>
      <c r="AA1" s="1" t="s">
        <v>56</v>
      </c>
      <c r="AB1" s="1" t="s">
        <v>57</v>
      </c>
      <c r="AC1" s="1" t="s">
        <v>58</v>
      </c>
      <c r="AD1" s="1" t="s">
        <v>59</v>
      </c>
    </row>
    <row r="2" s="1" customFormat="1" spans="1:30">
      <c r="A2" s="1" t="s">
        <v>60</v>
      </c>
      <c r="B2" s="1" t="s">
        <v>61</v>
      </c>
      <c r="C2" s="1" t="s">
        <v>62</v>
      </c>
      <c r="D2" s="1">
        <v>1</v>
      </c>
      <c r="E2" s="1">
        <v>1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1</v>
      </c>
      <c r="L2" s="1">
        <v>1</v>
      </c>
      <c r="M2" s="1">
        <v>0</v>
      </c>
      <c r="N2" s="1">
        <v>1</v>
      </c>
      <c r="O2" s="1">
        <v>1</v>
      </c>
      <c r="P2" s="1">
        <v>1</v>
      </c>
      <c r="Q2" s="1">
        <v>0</v>
      </c>
      <c r="R2" s="1">
        <v>1</v>
      </c>
      <c r="S2" s="1">
        <v>1</v>
      </c>
      <c r="T2" s="1">
        <v>1</v>
      </c>
      <c r="U2" s="1">
        <v>1</v>
      </c>
      <c r="V2" s="1">
        <v>1</v>
      </c>
      <c r="W2" s="1">
        <v>1</v>
      </c>
      <c r="X2" s="1">
        <v>1</v>
      </c>
      <c r="Y2" s="1">
        <v>0</v>
      </c>
      <c r="Z2" s="1">
        <v>1</v>
      </c>
      <c r="AA2" s="1">
        <v>0</v>
      </c>
      <c r="AB2" s="1">
        <v>1</v>
      </c>
      <c r="AC2" s="1">
        <v>1</v>
      </c>
      <c r="AD2" s="1">
        <v>1</v>
      </c>
    </row>
    <row r="3" s="1" customFormat="1" spans="1:30">
      <c r="A3" s="1" t="s">
        <v>63</v>
      </c>
      <c r="B3" s="1" t="s">
        <v>64</v>
      </c>
      <c r="C3" s="1" t="s">
        <v>65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="1" customFormat="1" spans="1:30">
      <c r="A4" s="1" t="s">
        <v>66</v>
      </c>
      <c r="B4" s="1" t="s">
        <v>67</v>
      </c>
      <c r="C4" s="1" t="s">
        <v>68</v>
      </c>
      <c r="D4" s="1">
        <v>0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1</v>
      </c>
      <c r="N4" s="1">
        <v>1</v>
      </c>
      <c r="O4" s="1">
        <v>0</v>
      </c>
      <c r="P4" s="1">
        <v>0</v>
      </c>
      <c r="Q4" s="1">
        <v>1</v>
      </c>
      <c r="R4" s="1">
        <v>0</v>
      </c>
      <c r="S4" s="1">
        <v>1</v>
      </c>
      <c r="T4" s="1">
        <v>1</v>
      </c>
      <c r="U4" s="1">
        <v>1</v>
      </c>
      <c r="V4" s="1">
        <v>1</v>
      </c>
      <c r="W4" s="1">
        <v>0</v>
      </c>
      <c r="X4" s="1">
        <v>0</v>
      </c>
      <c r="Y4" s="1">
        <v>1</v>
      </c>
      <c r="Z4" s="1">
        <v>1</v>
      </c>
      <c r="AA4" s="1">
        <v>0</v>
      </c>
      <c r="AB4" s="1">
        <v>1</v>
      </c>
      <c r="AC4" s="1">
        <v>1</v>
      </c>
      <c r="AD4" s="1">
        <v>0</v>
      </c>
    </row>
    <row r="5" s="1" customFormat="1" spans="1:30">
      <c r="A5" s="1" t="s">
        <v>69</v>
      </c>
      <c r="B5" s="1" t="s">
        <v>70</v>
      </c>
      <c r="C5" s="1" t="s">
        <v>71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O5" s="1">
        <v>1</v>
      </c>
      <c r="P5" s="1">
        <v>1</v>
      </c>
      <c r="Q5" s="1">
        <v>1</v>
      </c>
      <c r="R5" s="1">
        <v>1</v>
      </c>
      <c r="S5" s="1">
        <v>1</v>
      </c>
      <c r="T5" s="1">
        <v>1</v>
      </c>
      <c r="U5" s="1">
        <v>1</v>
      </c>
      <c r="V5" s="1">
        <v>1</v>
      </c>
      <c r="W5" s="1">
        <v>1</v>
      </c>
      <c r="X5" s="1">
        <v>1</v>
      </c>
      <c r="Y5" s="1">
        <v>1</v>
      </c>
      <c r="Z5" s="1">
        <v>1</v>
      </c>
      <c r="AA5" s="1">
        <v>1</v>
      </c>
      <c r="AB5" s="1">
        <v>1</v>
      </c>
      <c r="AC5" s="1">
        <v>1</v>
      </c>
      <c r="AD5" s="1">
        <v>1</v>
      </c>
    </row>
    <row r="6" s="1" customFormat="1" spans="1:30">
      <c r="A6" s="1" t="s">
        <v>72</v>
      </c>
      <c r="B6" s="1" t="s">
        <v>73</v>
      </c>
      <c r="C6" s="1" t="s">
        <v>74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1</v>
      </c>
      <c r="U6" s="1">
        <v>1</v>
      </c>
      <c r="V6" s="1">
        <v>1</v>
      </c>
      <c r="W6" s="1">
        <v>1</v>
      </c>
      <c r="X6" s="1">
        <v>1</v>
      </c>
      <c r="Y6" s="1">
        <v>1</v>
      </c>
      <c r="Z6" s="1">
        <v>1</v>
      </c>
      <c r="AA6" s="1">
        <v>1</v>
      </c>
      <c r="AB6" s="1">
        <v>1</v>
      </c>
      <c r="AC6" s="1">
        <v>1</v>
      </c>
      <c r="AD6" s="1">
        <v>1</v>
      </c>
    </row>
    <row r="7" s="1" customFormat="1" spans="1:30">
      <c r="A7" s="1" t="s">
        <v>75</v>
      </c>
      <c r="B7" s="1" t="s">
        <v>76</v>
      </c>
      <c r="C7" s="1" t="s">
        <v>77</v>
      </c>
      <c r="D7" s="1">
        <v>1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1</v>
      </c>
      <c r="K7" s="1">
        <v>1</v>
      </c>
      <c r="L7" s="1">
        <v>0</v>
      </c>
      <c r="M7" s="1">
        <v>1</v>
      </c>
      <c r="N7" s="1">
        <v>1</v>
      </c>
      <c r="O7" s="1">
        <v>0</v>
      </c>
      <c r="P7" s="1">
        <v>0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1</v>
      </c>
      <c r="Z7" s="1">
        <v>1</v>
      </c>
      <c r="AA7" s="1">
        <v>0</v>
      </c>
      <c r="AB7" s="1">
        <v>1</v>
      </c>
      <c r="AC7" s="1">
        <v>0</v>
      </c>
      <c r="AD7" s="1">
        <v>1</v>
      </c>
    </row>
    <row r="8" s="1" customFormat="1" spans="1:30">
      <c r="A8" s="1" t="s">
        <v>78</v>
      </c>
      <c r="B8" s="1" t="s">
        <v>79</v>
      </c>
      <c r="C8" s="1" t="s">
        <v>80</v>
      </c>
      <c r="D8" s="1">
        <v>0</v>
      </c>
      <c r="E8" s="1">
        <v>1</v>
      </c>
      <c r="F8" s="1">
        <v>0</v>
      </c>
      <c r="G8" s="1">
        <v>0</v>
      </c>
      <c r="H8" s="1">
        <v>1</v>
      </c>
      <c r="I8" s="1">
        <v>1</v>
      </c>
      <c r="J8" s="1">
        <v>1</v>
      </c>
      <c r="K8" s="1">
        <v>1</v>
      </c>
      <c r="L8" s="1">
        <v>0</v>
      </c>
      <c r="M8" s="1">
        <v>1</v>
      </c>
      <c r="N8" s="1">
        <v>1</v>
      </c>
      <c r="O8" s="1">
        <v>1</v>
      </c>
      <c r="P8" s="1">
        <v>1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1</v>
      </c>
      <c r="W8" s="1">
        <v>1</v>
      </c>
      <c r="X8" s="1">
        <v>0</v>
      </c>
      <c r="Y8" s="1">
        <v>1</v>
      </c>
      <c r="Z8" s="1">
        <v>1</v>
      </c>
      <c r="AA8" s="1">
        <v>1</v>
      </c>
      <c r="AB8" s="1">
        <v>0</v>
      </c>
      <c r="AC8" s="1">
        <v>0</v>
      </c>
      <c r="AD8" s="1">
        <v>0</v>
      </c>
    </row>
    <row r="9" s="1" customFormat="1" spans="1:30">
      <c r="A9" s="1" t="s">
        <v>81</v>
      </c>
      <c r="B9" s="1" t="s">
        <v>82</v>
      </c>
      <c r="C9" s="1" t="s">
        <v>83</v>
      </c>
      <c r="D9" s="1">
        <v>1</v>
      </c>
      <c r="E9" s="1">
        <v>1</v>
      </c>
      <c r="F9" s="1">
        <v>1</v>
      </c>
      <c r="G9" s="1">
        <v>0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1</v>
      </c>
      <c r="V9" s="1">
        <v>1</v>
      </c>
      <c r="W9" s="1">
        <v>1</v>
      </c>
      <c r="X9" s="1">
        <v>1</v>
      </c>
      <c r="Y9" s="1">
        <v>1</v>
      </c>
      <c r="Z9" s="1">
        <v>1</v>
      </c>
      <c r="AA9" s="1">
        <v>1</v>
      </c>
      <c r="AB9" s="1">
        <v>1</v>
      </c>
      <c r="AC9" s="1">
        <v>1</v>
      </c>
      <c r="AD9" s="1">
        <v>1</v>
      </c>
    </row>
    <row r="10" s="1" customFormat="1" spans="1:30">
      <c r="A10" s="1" t="s">
        <v>84</v>
      </c>
      <c r="B10" s="1" t="s">
        <v>85</v>
      </c>
      <c r="C10" s="1" t="s">
        <v>86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0</v>
      </c>
      <c r="J10" s="1">
        <v>1</v>
      </c>
      <c r="K10" s="1">
        <v>0</v>
      </c>
      <c r="L10" s="1">
        <v>1</v>
      </c>
      <c r="M10" s="1">
        <v>1</v>
      </c>
      <c r="N10" s="1">
        <v>0</v>
      </c>
      <c r="O10" s="1">
        <v>1</v>
      </c>
      <c r="P10" s="1">
        <v>0</v>
      </c>
      <c r="Q10" s="1">
        <v>0</v>
      </c>
      <c r="R10" s="1">
        <v>0</v>
      </c>
      <c r="S10" s="1">
        <v>1</v>
      </c>
      <c r="T10" s="1">
        <v>1</v>
      </c>
      <c r="U10" s="1">
        <v>0</v>
      </c>
      <c r="V10" s="1">
        <v>1</v>
      </c>
      <c r="W10" s="1">
        <v>1</v>
      </c>
      <c r="X10" s="1">
        <v>0</v>
      </c>
      <c r="Y10" s="1">
        <v>1</v>
      </c>
      <c r="Z10" s="1">
        <v>1</v>
      </c>
      <c r="AA10" s="1">
        <v>0</v>
      </c>
      <c r="AB10" s="1">
        <v>1</v>
      </c>
      <c r="AC10" s="1">
        <v>0</v>
      </c>
      <c r="AD10" s="1">
        <v>1</v>
      </c>
    </row>
    <row r="11" s="1" customFormat="1" spans="1:30">
      <c r="A11" s="1" t="s">
        <v>87</v>
      </c>
      <c r="B11" s="1" t="s">
        <v>88</v>
      </c>
      <c r="C11" s="1" t="s">
        <v>89</v>
      </c>
      <c r="D11" s="1">
        <v>1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1</v>
      </c>
      <c r="K11" s="1">
        <v>0</v>
      </c>
      <c r="L11" s="1">
        <v>1</v>
      </c>
      <c r="M11" s="1">
        <v>0</v>
      </c>
      <c r="N11" s="1">
        <v>0</v>
      </c>
      <c r="O11" s="1">
        <v>0</v>
      </c>
      <c r="P11" s="1">
        <v>1</v>
      </c>
      <c r="Q11" s="1">
        <v>1</v>
      </c>
      <c r="R11" s="1">
        <v>0</v>
      </c>
      <c r="S11" s="1">
        <v>0</v>
      </c>
      <c r="T11" s="1">
        <v>1</v>
      </c>
      <c r="U11" s="1">
        <v>0</v>
      </c>
      <c r="V11" s="1">
        <v>1</v>
      </c>
      <c r="W11" s="1">
        <v>0</v>
      </c>
      <c r="X11" s="1">
        <v>1</v>
      </c>
      <c r="Y11" s="1">
        <v>1</v>
      </c>
      <c r="Z11" s="1">
        <v>0</v>
      </c>
      <c r="AA11" s="1">
        <v>0</v>
      </c>
      <c r="AB11" s="1">
        <v>1</v>
      </c>
      <c r="AC11" s="1">
        <v>0</v>
      </c>
      <c r="AD11" s="1">
        <v>1</v>
      </c>
    </row>
    <row r="12" s="1" customFormat="1" spans="1:30">
      <c r="A12" s="1" t="s">
        <v>90</v>
      </c>
      <c r="B12" s="1" t="s">
        <v>91</v>
      </c>
      <c r="C12" s="1" t="s">
        <v>92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0</v>
      </c>
      <c r="R12" s="1">
        <v>1</v>
      </c>
      <c r="S12" s="1">
        <v>0</v>
      </c>
      <c r="T12" s="1">
        <v>1</v>
      </c>
      <c r="U12" s="1">
        <v>1</v>
      </c>
      <c r="V12" s="1">
        <v>1</v>
      </c>
      <c r="W12" s="1">
        <v>0</v>
      </c>
      <c r="X12" s="1">
        <v>1</v>
      </c>
      <c r="Y12" s="1">
        <v>1</v>
      </c>
      <c r="Z12" s="1">
        <v>0</v>
      </c>
      <c r="AA12" s="1">
        <v>0</v>
      </c>
      <c r="AB12" s="1">
        <v>1</v>
      </c>
      <c r="AC12" s="1">
        <v>0</v>
      </c>
      <c r="AD12" s="1">
        <v>1</v>
      </c>
    </row>
    <row r="13" s="1" customFormat="1" spans="1:30">
      <c r="A13" s="1" t="s">
        <v>93</v>
      </c>
      <c r="B13" s="1" t="s">
        <v>94</v>
      </c>
      <c r="C13" s="1" t="s">
        <v>95</v>
      </c>
      <c r="D13" s="1">
        <v>1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</v>
      </c>
      <c r="P13" s="1">
        <v>1</v>
      </c>
      <c r="Q13" s="1">
        <v>1</v>
      </c>
      <c r="R13" s="1">
        <v>0</v>
      </c>
      <c r="S13" s="1">
        <v>1</v>
      </c>
      <c r="T13" s="1">
        <v>0</v>
      </c>
      <c r="U13" s="1">
        <v>1</v>
      </c>
      <c r="V13" s="1">
        <v>0</v>
      </c>
      <c r="W13" s="1">
        <v>0</v>
      </c>
      <c r="X13" s="1">
        <v>1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1</v>
      </c>
    </row>
    <row r="14" s="1" customFormat="1" spans="1:30">
      <c r="A14" s="1" t="s">
        <v>96</v>
      </c>
      <c r="B14" s="1" t="s">
        <v>97</v>
      </c>
      <c r="C14" s="1" t="s">
        <v>98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1</v>
      </c>
      <c r="Q14" s="1">
        <v>1</v>
      </c>
      <c r="R14" s="1">
        <v>1</v>
      </c>
      <c r="S14" s="1">
        <v>0</v>
      </c>
      <c r="T14" s="1">
        <v>1</v>
      </c>
      <c r="U14" s="1">
        <v>0</v>
      </c>
      <c r="V14" s="1">
        <v>0</v>
      </c>
      <c r="W14" s="1">
        <v>0</v>
      </c>
      <c r="X14" s="1">
        <v>0</v>
      </c>
      <c r="Y14" s="1">
        <v>1</v>
      </c>
      <c r="Z14" s="1">
        <v>1</v>
      </c>
      <c r="AA14" s="1">
        <v>1</v>
      </c>
      <c r="AB14" s="1">
        <v>0</v>
      </c>
      <c r="AC14" s="1">
        <v>0</v>
      </c>
      <c r="AD14" s="1">
        <v>1</v>
      </c>
    </row>
    <row r="15" s="1" customFormat="1" spans="1:30">
      <c r="A15" s="1" t="s">
        <v>99</v>
      </c>
      <c r="B15" s="1" t="s">
        <v>100</v>
      </c>
      <c r="C15" s="1" t="s">
        <v>101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0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0</v>
      </c>
      <c r="U15" s="1">
        <v>0</v>
      </c>
      <c r="V15" s="1">
        <v>1</v>
      </c>
      <c r="W15" s="1">
        <v>1</v>
      </c>
      <c r="X15" s="1">
        <v>0</v>
      </c>
      <c r="Y15" s="1">
        <v>1</v>
      </c>
      <c r="Z15" s="1">
        <v>1</v>
      </c>
      <c r="AA15" s="1">
        <v>1</v>
      </c>
      <c r="AB15" s="1">
        <v>1</v>
      </c>
      <c r="AC15" s="1">
        <v>0</v>
      </c>
      <c r="AD15" s="1">
        <v>1</v>
      </c>
    </row>
    <row r="16" s="1" customFormat="1" spans="1:30">
      <c r="A16" s="1" t="s">
        <v>102</v>
      </c>
      <c r="B16" s="1" t="s">
        <v>103</v>
      </c>
      <c r="C16" s="1" t="s">
        <v>104</v>
      </c>
      <c r="D16" s="1">
        <v>1</v>
      </c>
      <c r="E16" s="1">
        <v>1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1</v>
      </c>
      <c r="L16" s="1">
        <v>1</v>
      </c>
      <c r="M16" s="1">
        <v>0</v>
      </c>
      <c r="N16" s="1">
        <v>1</v>
      </c>
      <c r="O16" s="1">
        <v>1</v>
      </c>
      <c r="P16" s="1">
        <v>0</v>
      </c>
      <c r="Q16" s="1">
        <v>0</v>
      </c>
      <c r="R16" s="1">
        <v>1</v>
      </c>
      <c r="S16" s="1">
        <v>1</v>
      </c>
      <c r="T16" s="1">
        <v>1</v>
      </c>
      <c r="U16" s="1">
        <v>1</v>
      </c>
      <c r="V16" s="1">
        <v>0</v>
      </c>
      <c r="W16" s="1">
        <v>0</v>
      </c>
      <c r="X16" s="1">
        <v>0</v>
      </c>
      <c r="Y16" s="1">
        <v>1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</row>
    <row r="17" s="1" customFormat="1" spans="1:30">
      <c r="A17" s="1" t="s">
        <v>105</v>
      </c>
      <c r="B17" s="1" t="s">
        <v>106</v>
      </c>
      <c r="C17" s="1" t="s">
        <v>107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</v>
      </c>
      <c r="S17" s="1">
        <v>1</v>
      </c>
      <c r="T17" s="1">
        <v>0</v>
      </c>
      <c r="U17" s="1">
        <v>0</v>
      </c>
      <c r="V17" s="1">
        <v>1</v>
      </c>
      <c r="W17" s="1">
        <v>1</v>
      </c>
      <c r="X17" s="1">
        <v>1</v>
      </c>
      <c r="Y17" s="1">
        <v>0</v>
      </c>
      <c r="Z17" s="1">
        <v>1</v>
      </c>
      <c r="AA17" s="1">
        <v>0</v>
      </c>
      <c r="AB17" s="1">
        <v>0</v>
      </c>
      <c r="AC17" s="1">
        <v>1</v>
      </c>
      <c r="AD17" s="1">
        <v>1</v>
      </c>
    </row>
    <row r="18" s="1" customFormat="1" spans="1:30">
      <c r="A18" s="1" t="s">
        <v>108</v>
      </c>
      <c r="B18" s="1" t="s">
        <v>109</v>
      </c>
      <c r="C18" s="1" t="s">
        <v>110</v>
      </c>
      <c r="D18" s="1">
        <v>1</v>
      </c>
      <c r="E18" s="1">
        <v>1</v>
      </c>
      <c r="F18" s="1">
        <v>1</v>
      </c>
      <c r="G18" s="1">
        <v>1</v>
      </c>
      <c r="H18" s="1">
        <v>0</v>
      </c>
      <c r="I18" s="1">
        <v>1</v>
      </c>
      <c r="J18" s="1">
        <v>1</v>
      </c>
      <c r="K18" s="1">
        <v>0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1</v>
      </c>
      <c r="U18" s="1">
        <v>1</v>
      </c>
      <c r="V18" s="1">
        <v>1</v>
      </c>
      <c r="W18" s="1">
        <v>0</v>
      </c>
      <c r="X18" s="1">
        <v>1</v>
      </c>
      <c r="Y18" s="1">
        <v>0</v>
      </c>
      <c r="Z18" s="1">
        <v>1</v>
      </c>
      <c r="AA18" s="1">
        <v>1</v>
      </c>
      <c r="AB18" s="1">
        <v>1</v>
      </c>
      <c r="AC18" s="1">
        <v>0</v>
      </c>
      <c r="AD18" s="1">
        <v>1</v>
      </c>
    </row>
    <row r="19" s="1" customFormat="1" spans="1:30">
      <c r="A19" s="1" t="s">
        <v>111</v>
      </c>
      <c r="B19" s="1" t="s">
        <v>112</v>
      </c>
      <c r="C19" s="1" t="s">
        <v>113</v>
      </c>
      <c r="D19" s="1">
        <v>1</v>
      </c>
      <c r="E19" s="1">
        <v>1</v>
      </c>
      <c r="F19" s="1">
        <v>1</v>
      </c>
      <c r="G19" s="1">
        <v>0</v>
      </c>
      <c r="H19" s="1">
        <v>0</v>
      </c>
      <c r="I19" s="1">
        <v>1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1</v>
      </c>
      <c r="Q19" s="1">
        <v>1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1</v>
      </c>
      <c r="X19" s="1">
        <v>1</v>
      </c>
      <c r="Y19" s="1">
        <v>1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</row>
    <row r="20" s="1" customFormat="1" spans="1:30">
      <c r="A20" s="1" t="s">
        <v>114</v>
      </c>
      <c r="B20" s="1" t="s">
        <v>115</v>
      </c>
      <c r="C20" s="1" t="s">
        <v>116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</row>
    <row r="21" s="1" customFormat="1" spans="1:30">
      <c r="A21" s="1" t="s">
        <v>117</v>
      </c>
      <c r="B21" s="1" t="s">
        <v>118</v>
      </c>
      <c r="C21" s="1" t="s">
        <v>119</v>
      </c>
      <c r="D21" s="1">
        <v>1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1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0</v>
      </c>
      <c r="S21" s="1">
        <v>1</v>
      </c>
      <c r="T21" s="1">
        <v>0</v>
      </c>
      <c r="U21" s="1">
        <v>0</v>
      </c>
      <c r="V21" s="1">
        <v>1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1</v>
      </c>
      <c r="AD21" s="1">
        <v>0</v>
      </c>
    </row>
    <row r="22" s="1" customFormat="1" spans="1:30">
      <c r="A22" s="1" t="s">
        <v>120</v>
      </c>
      <c r="B22" s="1" t="s">
        <v>121</v>
      </c>
      <c r="C22" s="1" t="s">
        <v>122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0</v>
      </c>
      <c r="J22" s="1">
        <v>0</v>
      </c>
      <c r="K22" s="1">
        <v>1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1</v>
      </c>
      <c r="AC22" s="1">
        <v>0</v>
      </c>
      <c r="AD22" s="1">
        <v>0</v>
      </c>
    </row>
    <row r="23" s="1" customFormat="1" spans="1:30">
      <c r="A23" s="1" t="s">
        <v>123</v>
      </c>
      <c r="B23" s="1" t="s">
        <v>124</v>
      </c>
      <c r="C23" s="1" t="s">
        <v>125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1</v>
      </c>
      <c r="U23" s="1">
        <v>0</v>
      </c>
      <c r="V23" s="1">
        <v>1</v>
      </c>
      <c r="W23" s="1">
        <v>1</v>
      </c>
      <c r="X23" s="1">
        <v>0</v>
      </c>
      <c r="Y23" s="1">
        <v>0</v>
      </c>
      <c r="Z23" s="1">
        <v>1</v>
      </c>
      <c r="AA23" s="1">
        <v>0</v>
      </c>
      <c r="AB23" s="1">
        <v>0</v>
      </c>
      <c r="AC23" s="1">
        <v>1</v>
      </c>
      <c r="AD23" s="1">
        <v>0</v>
      </c>
    </row>
    <row r="24" s="1" customFormat="1" spans="1:30">
      <c r="A24" s="1" t="s">
        <v>126</v>
      </c>
      <c r="B24" s="1" t="s">
        <v>127</v>
      </c>
      <c r="C24" s="1" t="s">
        <v>128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1</v>
      </c>
      <c r="S24" s="1">
        <v>0</v>
      </c>
      <c r="T24" s="1">
        <v>0</v>
      </c>
      <c r="U24" s="1">
        <v>1</v>
      </c>
      <c r="V24" s="1">
        <v>1</v>
      </c>
      <c r="W24" s="1">
        <v>1</v>
      </c>
      <c r="X24" s="1">
        <v>1</v>
      </c>
      <c r="Y24" s="1">
        <v>1</v>
      </c>
      <c r="Z24" s="1">
        <v>0</v>
      </c>
      <c r="AA24" s="1">
        <v>0</v>
      </c>
      <c r="AB24" s="1">
        <v>0</v>
      </c>
      <c r="AC24" s="1">
        <v>1</v>
      </c>
      <c r="AD24" s="1">
        <v>1</v>
      </c>
    </row>
    <row r="25" s="1" customFormat="1" spans="1:30">
      <c r="A25" s="1" t="s">
        <v>129</v>
      </c>
      <c r="B25" s="1" t="s">
        <v>127</v>
      </c>
      <c r="C25" s="1" t="s">
        <v>130</v>
      </c>
      <c r="D25" s="1">
        <v>0</v>
      </c>
      <c r="E25" s="1">
        <v>1</v>
      </c>
      <c r="F25" s="1">
        <v>1</v>
      </c>
      <c r="G25" s="1">
        <v>1</v>
      </c>
      <c r="H25" s="1">
        <v>1</v>
      </c>
      <c r="I25" s="1">
        <v>0</v>
      </c>
      <c r="J25" s="1">
        <v>1</v>
      </c>
      <c r="K25" s="1">
        <v>0</v>
      </c>
      <c r="L25" s="1">
        <v>1</v>
      </c>
      <c r="M25" s="1">
        <v>1</v>
      </c>
      <c r="N25" s="1">
        <v>1</v>
      </c>
      <c r="O25" s="1">
        <v>0</v>
      </c>
      <c r="P25" s="1">
        <v>1</v>
      </c>
      <c r="Q25" s="1">
        <v>0</v>
      </c>
      <c r="R25" s="1">
        <v>0</v>
      </c>
      <c r="S25" s="1">
        <v>1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1</v>
      </c>
      <c r="AD25" s="1">
        <v>0</v>
      </c>
    </row>
    <row r="26" s="1" customFormat="1" spans="1:30">
      <c r="A26" s="1" t="s">
        <v>131</v>
      </c>
      <c r="B26" s="1" t="s">
        <v>132</v>
      </c>
      <c r="C26" s="1" t="s">
        <v>133</v>
      </c>
      <c r="D26" s="1">
        <v>1</v>
      </c>
      <c r="E26" s="1">
        <v>1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1</v>
      </c>
      <c r="L26" s="1">
        <v>0</v>
      </c>
      <c r="M26" s="1">
        <v>1</v>
      </c>
      <c r="N26" s="1">
        <v>1</v>
      </c>
      <c r="O26" s="1">
        <v>0</v>
      </c>
      <c r="P26" s="1">
        <v>0</v>
      </c>
      <c r="Q26" s="1">
        <v>0</v>
      </c>
      <c r="R26" s="1">
        <v>0</v>
      </c>
      <c r="S26" s="1">
        <v>1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1</v>
      </c>
    </row>
    <row r="27" s="1" customFormat="1" spans="1:30">
      <c r="A27" s="1" t="s">
        <v>134</v>
      </c>
      <c r="B27" s="1" t="s">
        <v>132</v>
      </c>
      <c r="C27" s="1" t="s">
        <v>135</v>
      </c>
      <c r="D27" s="1">
        <v>1</v>
      </c>
      <c r="E27" s="1">
        <v>1</v>
      </c>
      <c r="F27" s="1">
        <v>1</v>
      </c>
      <c r="G27" s="1">
        <v>0</v>
      </c>
      <c r="H27" s="1">
        <v>1</v>
      </c>
      <c r="I27" s="1">
        <v>0</v>
      </c>
      <c r="J27" s="1">
        <v>1</v>
      </c>
      <c r="K27" s="1">
        <v>0</v>
      </c>
      <c r="L27" s="1">
        <v>0</v>
      </c>
      <c r="M27" s="1">
        <v>0</v>
      </c>
      <c r="N27" s="1">
        <v>1</v>
      </c>
      <c r="O27" s="1">
        <v>0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1</v>
      </c>
      <c r="X27" s="1">
        <v>0</v>
      </c>
      <c r="Y27" s="1">
        <v>0</v>
      </c>
      <c r="Z27" s="1">
        <v>1</v>
      </c>
      <c r="AA27" s="1">
        <v>1</v>
      </c>
      <c r="AB27" s="1">
        <v>0</v>
      </c>
      <c r="AC27" s="1">
        <v>0</v>
      </c>
      <c r="AD27" s="1">
        <v>1</v>
      </c>
    </row>
    <row r="28" s="1" customFormat="1" spans="1:30">
      <c r="A28" s="1" t="s">
        <v>136</v>
      </c>
      <c r="B28" s="1" t="s">
        <v>137</v>
      </c>
      <c r="C28" s="1" t="s">
        <v>138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</row>
    <row r="29" s="1" customFormat="1" spans="1:30">
      <c r="A29" s="1" t="s">
        <v>139</v>
      </c>
      <c r="B29" s="1" t="s">
        <v>137</v>
      </c>
      <c r="C29" s="1" t="s">
        <v>140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</row>
    <row r="30" s="1" customFormat="1" spans="1:30">
      <c r="A30" s="1" t="s">
        <v>141</v>
      </c>
      <c r="B30" s="1" t="s">
        <v>142</v>
      </c>
      <c r="C30" s="1" t="s">
        <v>143</v>
      </c>
      <c r="D30" s="1">
        <v>1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1</v>
      </c>
      <c r="N30" s="1">
        <v>1</v>
      </c>
      <c r="O30" s="1">
        <v>1</v>
      </c>
      <c r="P30" s="1">
        <v>0</v>
      </c>
      <c r="Q30" s="1">
        <v>1</v>
      </c>
      <c r="R30" s="1">
        <v>1</v>
      </c>
      <c r="S30" s="1">
        <v>1</v>
      </c>
      <c r="T30" s="1">
        <v>1</v>
      </c>
      <c r="U30" s="1">
        <v>1</v>
      </c>
      <c r="V30" s="1">
        <v>1</v>
      </c>
      <c r="W30" s="1">
        <v>1</v>
      </c>
      <c r="X30" s="1">
        <v>1</v>
      </c>
      <c r="Y30" s="1">
        <v>1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</row>
    <row r="31" s="1" customFormat="1" spans="1:30">
      <c r="A31" s="1" t="s">
        <v>144</v>
      </c>
      <c r="B31" s="1" t="s">
        <v>142</v>
      </c>
      <c r="C31" s="1" t="s">
        <v>145</v>
      </c>
      <c r="D31" s="1">
        <v>1</v>
      </c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1</v>
      </c>
      <c r="L31" s="1">
        <v>1</v>
      </c>
      <c r="M31" s="1">
        <v>0</v>
      </c>
      <c r="N31" s="1">
        <v>1</v>
      </c>
      <c r="O31" s="1">
        <v>1</v>
      </c>
      <c r="P31" s="1">
        <v>0</v>
      </c>
      <c r="Q31" s="1">
        <v>1</v>
      </c>
      <c r="R31" s="1">
        <v>0</v>
      </c>
      <c r="S31" s="1">
        <v>0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</row>
    <row r="32" s="1" customFormat="1" spans="1:30">
      <c r="A32" s="1" t="s">
        <v>146</v>
      </c>
      <c r="B32" s="1" t="s">
        <v>142</v>
      </c>
      <c r="C32" s="1" t="s">
        <v>147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1</v>
      </c>
      <c r="R32" s="1">
        <v>1</v>
      </c>
      <c r="S32" s="1">
        <v>1</v>
      </c>
      <c r="T32" s="1">
        <v>0</v>
      </c>
      <c r="U32" s="1">
        <v>1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A1" sqref="A$1:N$1048576"/>
    </sheetView>
  </sheetViews>
  <sheetFormatPr defaultColWidth="9" defaultRowHeight="16.8" outlineLevelRow="7"/>
  <sheetData>
    <row r="1" spans="1:17">
      <c r="A1" t="str">
        <f>[1]s001_stat!A1</f>
        <v>case_id</v>
      </c>
      <c r="B1" t="str">
        <f>[1]s001_stat!B1</f>
        <v>Initial_deepseek_nodes</v>
      </c>
      <c r="C1" t="str">
        <f>[1]s001_stat!C1</f>
        <v>Initial_deepseek_relations</v>
      </c>
      <c r="D1" t="str">
        <f>[1]s001_stat!D1</f>
        <v>Initial_gemini_nodes</v>
      </c>
      <c r="E1" t="str">
        <f>[1]s001_stat!E1</f>
        <v>Initial_gemini_relations</v>
      </c>
      <c r="F1" t="str">
        <f>[1]s001_stat!F1</f>
        <v>r1_nodes</v>
      </c>
      <c r="G1" t="str">
        <f>[1]s001_stat!G1</f>
        <v>r1_relations</v>
      </c>
      <c r="H1" t="str">
        <f>[1]s001_stat!H1</f>
        <v>r2_nodes</v>
      </c>
      <c r="I1" t="str">
        <f>[1]s001_stat!I1</f>
        <v>r2_relations</v>
      </c>
      <c r="J1" t="str">
        <f>[1]s001_stat!J1</f>
        <v>r3_nodes</v>
      </c>
      <c r="K1" t="str">
        <f>[1]s001_stat!K1</f>
        <v>r3_relations</v>
      </c>
      <c r="L1" t="str">
        <f>[1]s001_stat!L1</f>
        <v>node_accepted_rate</v>
      </c>
      <c r="M1" t="str">
        <f>[1]s001_stat!M1</f>
        <v>relation_accepted_rate</v>
      </c>
      <c r="N1" t="str">
        <f>[1]s001_stat!N1</f>
        <v>dtv_valid</v>
      </c>
      <c r="P1" t="s">
        <v>148</v>
      </c>
      <c r="Q1" t="s">
        <v>149</v>
      </c>
    </row>
    <row r="2" spans="1:17">
      <c r="A2" t="str">
        <f>[1]s001_stat!A2</f>
        <v>c001</v>
      </c>
      <c r="B2">
        <f>[1]s001_stat!B2</f>
        <v>39</v>
      </c>
      <c r="C2">
        <f>[1]s001_stat!C2</f>
        <v>46</v>
      </c>
      <c r="D2">
        <f>[1]s001_stat!D2</f>
        <v>15</v>
      </c>
      <c r="E2">
        <f>[1]s001_stat!E2</f>
        <v>30</v>
      </c>
      <c r="F2">
        <f>[1]s001_stat!F2</f>
        <v>48</v>
      </c>
      <c r="G2">
        <f>[1]s001_stat!G2</f>
        <v>74</v>
      </c>
      <c r="H2">
        <f>[1]s001_stat!H2</f>
        <v>47</v>
      </c>
      <c r="I2">
        <f>[1]s001_stat!I2</f>
        <v>63</v>
      </c>
      <c r="J2">
        <f>[1]s001_stat!J2</f>
        <v>37</v>
      </c>
      <c r="K2">
        <f>[1]s001_stat!K2</f>
        <v>56</v>
      </c>
      <c r="L2">
        <f>[1]s001_stat!L2</f>
        <v>0.69</v>
      </c>
      <c r="M2">
        <f>[1]s001_stat!M2</f>
        <v>0.74</v>
      </c>
      <c r="N2">
        <f>[1]s001_stat!N2</f>
        <v>0.68</v>
      </c>
      <c r="P2">
        <f>SUM(J2:J8)</f>
        <v>293</v>
      </c>
      <c r="Q2">
        <f>SUM(K2:K8)</f>
        <v>354</v>
      </c>
    </row>
    <row r="3" spans="1:17">
      <c r="A3" t="str">
        <f>[1]s001_stat!A3</f>
        <v>c002</v>
      </c>
      <c r="B3">
        <f>[1]s001_stat!B3</f>
        <v>28</v>
      </c>
      <c r="C3">
        <f>[1]s001_stat!C3</f>
        <v>25</v>
      </c>
      <c r="D3">
        <f>[1]s001_stat!D3</f>
        <v>24</v>
      </c>
      <c r="E3">
        <f>[1]s001_stat!E3</f>
        <v>32</v>
      </c>
      <c r="F3">
        <f>[1]s001_stat!F3</f>
        <v>52</v>
      </c>
      <c r="G3">
        <f>[1]s001_stat!G3</f>
        <v>56</v>
      </c>
      <c r="H3">
        <f>[1]s001_stat!H3</f>
        <v>51</v>
      </c>
      <c r="I3">
        <f>[1]s001_stat!I3</f>
        <v>48</v>
      </c>
      <c r="J3">
        <f>[1]s001_stat!J3</f>
        <v>45</v>
      </c>
      <c r="K3">
        <f>[1]s001_stat!K3</f>
        <v>48</v>
      </c>
      <c r="L3">
        <f>[1]s001_stat!L3</f>
        <v>0.87</v>
      </c>
      <c r="M3">
        <f>[1]s001_stat!M3</f>
        <v>0.84</v>
      </c>
      <c r="N3">
        <f>[1]s001_stat!N3</f>
        <v>0.68</v>
      </c>
    </row>
    <row r="4" spans="1:17">
      <c r="A4" t="str">
        <f>[1]s001_stat!A4</f>
        <v>c003</v>
      </c>
      <c r="B4">
        <f>[1]s001_stat!B4</f>
        <v>23</v>
      </c>
      <c r="C4">
        <f>[1]s001_stat!C4</f>
        <v>39</v>
      </c>
      <c r="D4">
        <f>[1]s001_stat!D4</f>
        <v>16</v>
      </c>
      <c r="E4">
        <f>[1]s001_stat!E4</f>
        <v>27</v>
      </c>
      <c r="F4">
        <f>[1]s001_stat!F4</f>
        <v>36</v>
      </c>
      <c r="G4">
        <f>[1]s001_stat!G4</f>
        <v>62</v>
      </c>
      <c r="H4">
        <f>[1]s001_stat!H4</f>
        <v>32</v>
      </c>
      <c r="I4">
        <f>[1]s001_stat!I4</f>
        <v>38</v>
      </c>
      <c r="J4">
        <f>[1]s001_stat!J4</f>
        <v>30</v>
      </c>
      <c r="K4">
        <f>[1]s001_stat!K4</f>
        <v>38</v>
      </c>
      <c r="L4">
        <f>[1]s001_stat!L4</f>
        <v>0.77</v>
      </c>
      <c r="M4">
        <f>[1]s001_stat!M4</f>
        <v>0.58</v>
      </c>
      <c r="N4">
        <f>[1]s001_stat!N4</f>
        <v>0.58</v>
      </c>
    </row>
    <row r="5" spans="1:17">
      <c r="A5" t="str">
        <f>[1]s001_stat!A5</f>
        <v>c004</v>
      </c>
      <c r="B5">
        <f>[1]s001_stat!B5</f>
        <v>42</v>
      </c>
      <c r="C5">
        <f>[1]s001_stat!C5</f>
        <v>43</v>
      </c>
      <c r="D5">
        <f>[1]s001_stat!D5</f>
        <v>30</v>
      </c>
      <c r="E5">
        <f>[1]s001_stat!E5</f>
        <v>36</v>
      </c>
      <c r="F5">
        <f>[1]s001_stat!F5</f>
        <v>65</v>
      </c>
      <c r="G5">
        <f>[1]s001_stat!G5</f>
        <v>69</v>
      </c>
      <c r="H5">
        <f>[1]s001_stat!H5</f>
        <v>64</v>
      </c>
      <c r="I5">
        <f>[1]s001_stat!I5</f>
        <v>61</v>
      </c>
      <c r="J5">
        <f>[1]s001_stat!J5</f>
        <v>60</v>
      </c>
      <c r="K5">
        <f>[1]s001_stat!K5</f>
        <v>61</v>
      </c>
      <c r="L5">
        <f>[1]s001_stat!L5</f>
        <v>0.83</v>
      </c>
      <c r="M5">
        <f>[1]s001_stat!M5</f>
        <v>0.77</v>
      </c>
      <c r="N5">
        <f>[1]s001_stat!N5</f>
        <v>0.48</v>
      </c>
    </row>
    <row r="6" spans="1:17">
      <c r="A6" t="str">
        <f>[1]s001_stat!A6</f>
        <v>c005</v>
      </c>
      <c r="B6">
        <f>[1]s001_stat!B6</f>
        <v>33</v>
      </c>
      <c r="C6">
        <f>[1]s001_stat!C6</f>
        <v>40</v>
      </c>
      <c r="D6">
        <f>[1]s001_stat!D6</f>
        <v>21</v>
      </c>
      <c r="E6">
        <f>[1]s001_stat!E6</f>
        <v>25</v>
      </c>
      <c r="F6">
        <f>[1]s001_stat!F6</f>
        <v>49</v>
      </c>
      <c r="G6">
        <f>[1]s001_stat!G6</f>
        <v>64</v>
      </c>
      <c r="H6">
        <f>[1]s001_stat!H6</f>
        <v>47</v>
      </c>
      <c r="I6">
        <f>[1]s001_stat!I6</f>
        <v>55</v>
      </c>
      <c r="J6">
        <f>[1]s001_stat!J6</f>
        <v>41</v>
      </c>
      <c r="K6">
        <f>[1]s001_stat!K6</f>
        <v>52</v>
      </c>
      <c r="L6">
        <f>[1]s001_stat!L6</f>
        <v>0.76</v>
      </c>
      <c r="M6">
        <f>[1]s001_stat!M6</f>
        <v>0.8</v>
      </c>
      <c r="N6">
        <f>[1]s001_stat!N6</f>
        <v>0.61</v>
      </c>
    </row>
    <row r="7" spans="1:17">
      <c r="A7" t="str">
        <f>[1]s001_stat!A7</f>
        <v>c006</v>
      </c>
      <c r="B7">
        <f>[1]s001_stat!B7</f>
        <v>23</v>
      </c>
      <c r="C7">
        <f>[1]s001_stat!C7</f>
        <v>27</v>
      </c>
      <c r="D7">
        <f>[1]s001_stat!D7</f>
        <v>26</v>
      </c>
      <c r="E7">
        <f>[1]s001_stat!E7</f>
        <v>30</v>
      </c>
      <c r="F7">
        <f>[1]s001_stat!F7</f>
        <v>48</v>
      </c>
      <c r="G7">
        <f>[1]s001_stat!G7</f>
        <v>54</v>
      </c>
      <c r="H7">
        <f>[1]s001_stat!H7</f>
        <v>46</v>
      </c>
      <c r="I7">
        <f>[1]s001_stat!I7</f>
        <v>38</v>
      </c>
      <c r="J7">
        <f>[1]s001_stat!J7</f>
        <v>43</v>
      </c>
      <c r="K7">
        <f>[1]s001_stat!K7</f>
        <v>37</v>
      </c>
      <c r="L7">
        <f>[1]s001_stat!L7</f>
        <v>0.88</v>
      </c>
      <c r="M7">
        <f>[1]s001_stat!M7</f>
        <v>0.65</v>
      </c>
      <c r="N7">
        <f>[1]s001_stat!N7</f>
        <v>0.52</v>
      </c>
    </row>
    <row r="8" spans="1:17">
      <c r="A8" t="str">
        <f>[1]s001_stat!A8</f>
        <v>c007</v>
      </c>
      <c r="B8">
        <f>[1]s001_stat!B8</f>
        <v>43</v>
      </c>
      <c r="C8">
        <f>[1]s001_stat!C8</f>
        <v>38</v>
      </c>
      <c r="D8">
        <f>[1]s001_stat!D8</f>
        <v>18</v>
      </c>
      <c r="E8">
        <f>[1]s001_stat!E8</f>
        <v>37</v>
      </c>
      <c r="F8">
        <f>[1]s001_stat!F8</f>
        <v>44</v>
      </c>
      <c r="G8">
        <f>[1]s001_stat!G8</f>
        <v>75</v>
      </c>
      <c r="H8">
        <f>[1]s001_stat!H8</f>
        <v>42</v>
      </c>
      <c r="I8">
        <f>[1]s001_stat!I8</f>
        <v>63</v>
      </c>
      <c r="J8">
        <f>[1]s001_stat!J8</f>
        <v>37</v>
      </c>
      <c r="K8">
        <f>[1]s001_stat!K8</f>
        <v>62</v>
      </c>
      <c r="L8">
        <f>[1]s001_stat!L8</f>
        <v>0.61</v>
      </c>
      <c r="M8">
        <f>[1]s001_stat!M8</f>
        <v>0.83</v>
      </c>
      <c r="N8">
        <f>[1]s001_stat!N8</f>
        <v>0.58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workbookViewId="0">
      <selection activeCell="A1" sqref="A$1:N$1048576"/>
    </sheetView>
  </sheetViews>
  <sheetFormatPr defaultColWidth="9" defaultRowHeight="16.8"/>
  <sheetData>
    <row r="1" spans="1:17">
      <c r="A1" t="str">
        <f>[2]s002_stat!A1</f>
        <v>case_id</v>
      </c>
      <c r="B1" t="str">
        <f>[2]s002_stat!B1</f>
        <v>Initial_deepseek_nodes</v>
      </c>
      <c r="C1" t="str">
        <f>[2]s002_stat!C1</f>
        <v>Initial_deepseek_relations</v>
      </c>
      <c r="D1" t="str">
        <f>[2]s002_stat!D1</f>
        <v>Initial_gemini_nodes</v>
      </c>
      <c r="E1" t="str">
        <f>[2]s002_stat!E1</f>
        <v>Initial_gemini_relations</v>
      </c>
      <c r="F1" t="str">
        <f>[2]s002_stat!F1</f>
        <v>r1_nodes</v>
      </c>
      <c r="G1" t="str">
        <f>[2]s002_stat!G1</f>
        <v>r1_relations</v>
      </c>
      <c r="H1" t="str">
        <f>[2]s002_stat!H1</f>
        <v>r2_nodes</v>
      </c>
      <c r="I1" t="str">
        <f>[2]s002_stat!I1</f>
        <v>r2_relations</v>
      </c>
      <c r="J1" t="str">
        <f>[2]s002_stat!J1</f>
        <v>r3_nodes</v>
      </c>
      <c r="K1" t="str">
        <f>[2]s002_stat!K1</f>
        <v>r3_relations</v>
      </c>
      <c r="L1" t="str">
        <f>[2]s002_stat!L1</f>
        <v>node_accepted_rate</v>
      </c>
      <c r="M1" t="str">
        <f>[2]s002_stat!M1</f>
        <v>relation_accepted_rate</v>
      </c>
      <c r="N1" t="str">
        <f>[2]s002_stat!N1</f>
        <v>dtv_valid</v>
      </c>
      <c r="P1" t="s">
        <v>148</v>
      </c>
      <c r="Q1" t="s">
        <v>149</v>
      </c>
    </row>
    <row r="2" spans="1:17">
      <c r="A2" t="str">
        <f>[2]s002_stat!A2</f>
        <v>c101</v>
      </c>
      <c r="B2">
        <f>[2]s002_stat!B2</f>
        <v>24</v>
      </c>
      <c r="C2">
        <f>[2]s002_stat!C2</f>
        <v>59</v>
      </c>
      <c r="D2">
        <f>[2]s002_stat!D2</f>
        <v>22</v>
      </c>
      <c r="E2">
        <f>[2]s002_stat!E2</f>
        <v>25</v>
      </c>
      <c r="F2">
        <f>[2]s002_stat!F2</f>
        <v>46</v>
      </c>
      <c r="G2">
        <f>[2]s002_stat!G2</f>
        <v>65</v>
      </c>
      <c r="H2">
        <f>[2]s002_stat!H2</f>
        <v>46</v>
      </c>
      <c r="I2">
        <f>[2]s002_stat!I2</f>
        <v>58</v>
      </c>
      <c r="J2">
        <f>[2]s002_stat!J2</f>
        <v>36</v>
      </c>
      <c r="K2">
        <f>[2]s002_stat!K2</f>
        <v>58</v>
      </c>
      <c r="L2">
        <f>[2]s002_stat!L2</f>
        <v>0.78</v>
      </c>
      <c r="M2">
        <f>[2]s002_stat!M2</f>
        <v>0.69</v>
      </c>
      <c r="N2">
        <f>[2]s002_stat!N2</f>
        <v>0.55</v>
      </c>
      <c r="P2">
        <f>SUM(J2:J10)</f>
        <v>340</v>
      </c>
      <c r="Q2">
        <f>SUM(K2:K10)</f>
        <v>424</v>
      </c>
    </row>
    <row r="3" spans="1:17">
      <c r="A3" t="str">
        <f>[2]s002_stat!A3</f>
        <v>c102</v>
      </c>
      <c r="B3">
        <f>[2]s002_stat!B3</f>
        <v>45</v>
      </c>
      <c r="C3">
        <f>[2]s002_stat!C3</f>
        <v>71</v>
      </c>
      <c r="D3">
        <f>[2]s002_stat!D3</f>
        <v>15</v>
      </c>
      <c r="E3">
        <f>[2]s002_stat!E3</f>
        <v>24</v>
      </c>
      <c r="F3">
        <f>[2]s002_stat!F3</f>
        <v>56</v>
      </c>
      <c r="G3">
        <f>[2]s002_stat!G3</f>
        <v>90</v>
      </c>
      <c r="H3">
        <f>[2]s002_stat!H3</f>
        <v>53</v>
      </c>
      <c r="I3">
        <f>[2]s002_stat!I3</f>
        <v>67</v>
      </c>
      <c r="J3">
        <f>[2]s002_stat!J3</f>
        <v>51</v>
      </c>
      <c r="K3">
        <f>[2]s002_stat!K3</f>
        <v>67</v>
      </c>
      <c r="L3">
        <f>[2]s002_stat!L3</f>
        <v>0.85</v>
      </c>
      <c r="M3">
        <f>[2]s002_stat!M3</f>
        <v>0.71</v>
      </c>
      <c r="N3">
        <f>[2]s002_stat!N3</f>
        <v>0.61</v>
      </c>
    </row>
    <row r="4" spans="1:17">
      <c r="A4" t="str">
        <f>[2]s002_stat!A4</f>
        <v>c103</v>
      </c>
      <c r="B4">
        <f>[2]s002_stat!B4</f>
        <v>51</v>
      </c>
      <c r="C4">
        <f>[2]s002_stat!C4</f>
        <v>64</v>
      </c>
      <c r="D4">
        <f>[2]s002_stat!D4</f>
        <v>27</v>
      </c>
      <c r="E4">
        <f>[2]s002_stat!E4</f>
        <v>34</v>
      </c>
      <c r="F4">
        <f>[2]s002_stat!F4</f>
        <v>71</v>
      </c>
      <c r="G4">
        <f>[2]s002_stat!G4</f>
        <v>90</v>
      </c>
      <c r="H4">
        <f>[2]s002_stat!H4</f>
        <v>68</v>
      </c>
      <c r="I4">
        <f>[2]s002_stat!I4</f>
        <v>77</v>
      </c>
      <c r="J4">
        <f>[2]s002_stat!J4</f>
        <v>53</v>
      </c>
      <c r="K4">
        <f>[2]s002_stat!K4</f>
        <v>74</v>
      </c>
      <c r="L4">
        <f>[2]s002_stat!L4</f>
        <v>0.68</v>
      </c>
      <c r="M4">
        <f>[2]s002_stat!M4</f>
        <v>0.76</v>
      </c>
      <c r="N4">
        <f>[2]s002_stat!N4</f>
        <v>0.48</v>
      </c>
    </row>
    <row r="5" spans="1:17">
      <c r="A5" t="str">
        <f>[2]s002_stat!A5</f>
        <v>c104</v>
      </c>
      <c r="B5">
        <f>[2]s002_stat!B5</f>
        <v>42</v>
      </c>
      <c r="C5">
        <f>[2]s002_stat!C5</f>
        <v>59</v>
      </c>
      <c r="D5">
        <f>[2]s002_stat!D5</f>
        <v>21</v>
      </c>
      <c r="E5">
        <f>[2]s002_stat!E5</f>
        <v>31</v>
      </c>
      <c r="F5">
        <f>[2]s002_stat!F5</f>
        <v>56</v>
      </c>
      <c r="G5">
        <f>[2]s002_stat!G5</f>
        <v>90</v>
      </c>
      <c r="H5">
        <f>[2]s002_stat!H5</f>
        <v>48</v>
      </c>
      <c r="I5">
        <f>[2]s002_stat!I5</f>
        <v>59</v>
      </c>
      <c r="J5">
        <f>[2]s002_stat!J5</f>
        <v>39</v>
      </c>
      <c r="K5">
        <f>[2]s002_stat!K5</f>
        <v>47</v>
      </c>
      <c r="L5">
        <f>[2]s002_stat!L5</f>
        <v>0.62</v>
      </c>
      <c r="M5">
        <f>[2]s002_stat!M5</f>
        <v>0.52</v>
      </c>
      <c r="N5">
        <f>[2]s002_stat!N5</f>
        <v>0.68</v>
      </c>
    </row>
    <row r="6" spans="1:17">
      <c r="A6" t="str">
        <f>[2]s002_stat!A6</f>
        <v>c105</v>
      </c>
      <c r="B6">
        <f>[2]s002_stat!B6</f>
        <v>33</v>
      </c>
      <c r="C6">
        <f>[2]s002_stat!C6</f>
        <v>51</v>
      </c>
      <c r="D6">
        <f>[2]s002_stat!D6</f>
        <v>12</v>
      </c>
      <c r="E6">
        <f>[2]s002_stat!E6</f>
        <v>15</v>
      </c>
      <c r="F6">
        <f>[2]s002_stat!F6</f>
        <v>44</v>
      </c>
      <c r="G6">
        <f>[2]s002_stat!G6</f>
        <v>64</v>
      </c>
      <c r="H6">
        <f>[2]s002_stat!H6</f>
        <v>39</v>
      </c>
      <c r="I6">
        <f>[2]s002_stat!I6</f>
        <v>51</v>
      </c>
      <c r="J6">
        <f>[2]s002_stat!J6</f>
        <v>30</v>
      </c>
      <c r="K6">
        <f>[2]s002_stat!K6</f>
        <v>47</v>
      </c>
      <c r="L6">
        <f>[2]s002_stat!L6</f>
        <v>0.67</v>
      </c>
      <c r="M6">
        <f>[2]s002_stat!M6</f>
        <v>0.71</v>
      </c>
      <c r="N6">
        <f>[2]s002_stat!N6</f>
        <v>0.52</v>
      </c>
    </row>
    <row r="7" spans="1:17">
      <c r="A7" t="str">
        <f>[2]s002_stat!A7</f>
        <v>c106</v>
      </c>
      <c r="B7">
        <f>[2]s002_stat!B7</f>
        <v>0</v>
      </c>
      <c r="C7">
        <f>[2]s002_stat!C7</f>
        <v>0</v>
      </c>
      <c r="D7">
        <f>[2]s002_stat!D7</f>
        <v>26</v>
      </c>
      <c r="E7">
        <f>[2]s002_stat!E7</f>
        <v>27</v>
      </c>
      <c r="F7">
        <f>[2]s002_stat!F7</f>
        <v>26</v>
      </c>
      <c r="G7">
        <f>[2]s002_stat!G7</f>
        <v>23</v>
      </c>
      <c r="H7">
        <f>[2]s002_stat!H7</f>
        <v>24</v>
      </c>
      <c r="I7">
        <f>[2]s002_stat!I7</f>
        <v>19</v>
      </c>
      <c r="J7">
        <f>[2]s002_stat!J7</f>
        <v>24</v>
      </c>
      <c r="K7">
        <f>[2]s002_stat!K7</f>
        <v>19</v>
      </c>
      <c r="L7">
        <f>[2]s002_stat!L7</f>
        <v>0.92</v>
      </c>
      <c r="M7">
        <f>[2]s002_stat!M7</f>
        <v>0.7</v>
      </c>
      <c r="N7">
        <f>[2]s002_stat!N7</f>
        <v>0.52</v>
      </c>
    </row>
    <row r="8" spans="1:17">
      <c r="A8" t="str">
        <f>[2]s002_stat!A8</f>
        <v>c107</v>
      </c>
      <c r="B8">
        <f>[2]s002_stat!B8</f>
        <v>44</v>
      </c>
      <c r="C8">
        <f>[2]s002_stat!C8</f>
        <v>46</v>
      </c>
      <c r="D8">
        <f>[2]s002_stat!D8</f>
        <v>23</v>
      </c>
      <c r="E8">
        <f>[2]s002_stat!E8</f>
        <v>32</v>
      </c>
      <c r="F8">
        <f>[2]s002_stat!F8</f>
        <v>47</v>
      </c>
      <c r="G8">
        <f>[2]s002_stat!G8</f>
        <v>46</v>
      </c>
      <c r="H8">
        <f>[2]s002_stat!H8</f>
        <v>45</v>
      </c>
      <c r="I8">
        <f>[2]s002_stat!I8</f>
        <v>40</v>
      </c>
      <c r="J8">
        <f>[2]s002_stat!J8</f>
        <v>42</v>
      </c>
      <c r="K8">
        <f>[2]s002_stat!K8</f>
        <v>35</v>
      </c>
      <c r="L8">
        <f>[2]s002_stat!L8</f>
        <v>0.63</v>
      </c>
      <c r="M8">
        <f>[2]s002_stat!M8</f>
        <v>0.45</v>
      </c>
      <c r="N8">
        <f>[2]s002_stat!N8</f>
        <v>0.61</v>
      </c>
    </row>
    <row r="9" spans="1:17">
      <c r="A9" t="str">
        <f>[2]s002_stat!A9</f>
        <v>c108</v>
      </c>
      <c r="B9">
        <f>[2]s002_stat!B9</f>
        <v>42</v>
      </c>
      <c r="C9">
        <f>[2]s002_stat!C9</f>
        <v>49</v>
      </c>
      <c r="D9">
        <f>[2]s002_stat!D9</f>
        <v>19</v>
      </c>
      <c r="E9">
        <f>[2]s002_stat!E9</f>
        <v>28</v>
      </c>
      <c r="F9">
        <f>[2]s002_stat!F9</f>
        <v>57</v>
      </c>
      <c r="G9">
        <f>[2]s002_stat!G9</f>
        <v>71</v>
      </c>
      <c r="H9">
        <f>[2]s002_stat!H9</f>
        <v>52</v>
      </c>
      <c r="I9">
        <f>[2]s002_stat!I9</f>
        <v>57</v>
      </c>
      <c r="J9">
        <f>[2]s002_stat!J9</f>
        <v>40</v>
      </c>
      <c r="K9">
        <f>[2]s002_stat!K9</f>
        <v>48</v>
      </c>
      <c r="L9">
        <f>[2]s002_stat!L9</f>
        <v>0.66</v>
      </c>
      <c r="M9">
        <f>[2]s002_stat!M9</f>
        <v>0.62</v>
      </c>
      <c r="N9">
        <f>[2]s002_stat!N9</f>
        <v>0.52</v>
      </c>
    </row>
    <row r="10" spans="1:17">
      <c r="A10" t="str">
        <f>[2]s002_stat!A10</f>
        <v>c109</v>
      </c>
      <c r="B10">
        <f>[2]s002_stat!B10</f>
        <v>22</v>
      </c>
      <c r="C10">
        <f>[2]s002_stat!C10</f>
        <v>26</v>
      </c>
      <c r="D10">
        <f>[2]s002_stat!D10</f>
        <v>12</v>
      </c>
      <c r="E10">
        <f>[2]s002_stat!E10</f>
        <v>15</v>
      </c>
      <c r="F10">
        <f>[2]s002_stat!F10</f>
        <v>34</v>
      </c>
      <c r="G10">
        <f>[2]s002_stat!G10</f>
        <v>40</v>
      </c>
      <c r="H10">
        <f>[2]s002_stat!H10</f>
        <v>31</v>
      </c>
      <c r="I10">
        <f>[2]s002_stat!I10</f>
        <v>34</v>
      </c>
      <c r="J10">
        <f>[2]s002_stat!J10</f>
        <v>25</v>
      </c>
      <c r="K10">
        <f>[2]s002_stat!K10</f>
        <v>29</v>
      </c>
      <c r="L10">
        <f>[2]s002_stat!L10</f>
        <v>0.74</v>
      </c>
      <c r="M10">
        <f>[2]s002_stat!M10</f>
        <v>0.71</v>
      </c>
      <c r="N10">
        <f>[2]s002_stat!N10</f>
        <v>0.55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"/>
  <sheetViews>
    <sheetView workbookViewId="0">
      <selection activeCell="E16" sqref="E16"/>
    </sheetView>
  </sheetViews>
  <sheetFormatPr defaultColWidth="9" defaultRowHeight="16.8"/>
  <sheetData>
    <row r="1" spans="1:18">
      <c r="A1" t="str">
        <f>[3]s003_stat!A1</f>
        <v>case_id</v>
      </c>
      <c r="B1" t="str">
        <f>[3]s003_stat!B1</f>
        <v>Initial_deepseek_nodes</v>
      </c>
      <c r="C1" t="str">
        <f>[3]s003_stat!C1</f>
        <v>Initial_deepseek_relations</v>
      </c>
      <c r="D1" t="str">
        <f>[3]s003_stat!D1</f>
        <v>Initial_gemini_nodes</v>
      </c>
      <c r="E1" t="str">
        <f>[3]s003_stat!E1</f>
        <v>Initial_gemini_relations</v>
      </c>
      <c r="F1" t="str">
        <f>[3]s003_stat!F1</f>
        <v>r1_nodes</v>
      </c>
      <c r="G1" t="str">
        <f>[3]s003_stat!G1</f>
        <v>r1_relations</v>
      </c>
      <c r="H1" t="str">
        <f>[3]s003_stat!H1</f>
        <v>r2_nodes</v>
      </c>
      <c r="I1" t="str">
        <f>[3]s003_stat!I1</f>
        <v>r2_relations</v>
      </c>
      <c r="J1" t="str">
        <f>[3]s003_stat!J1</f>
        <v>r3_nodes</v>
      </c>
      <c r="K1" t="str">
        <f>[3]s003_stat!K1</f>
        <v>r3_relations</v>
      </c>
      <c r="L1" t="str">
        <f>[3]s003_stat!L1</f>
        <v>node_accepted_rate</v>
      </c>
      <c r="M1" t="str">
        <f>[3]s003_stat!M1</f>
        <v>relation_accepted_rate</v>
      </c>
      <c r="N1" t="str">
        <f>[3]s003_stat!N1</f>
        <v>dtv_valid</v>
      </c>
      <c r="Q1" t="s">
        <v>148</v>
      </c>
      <c r="R1" t="s">
        <v>149</v>
      </c>
    </row>
    <row r="2" spans="1:18">
      <c r="A2" t="str">
        <f>[3]s003_stat!A2</f>
        <v>c201</v>
      </c>
      <c r="B2">
        <f>[3]s003_stat!B2</f>
        <v>37</v>
      </c>
      <c r="C2">
        <f>[3]s003_stat!C2</f>
        <v>44</v>
      </c>
      <c r="D2">
        <f>[3]s003_stat!D2</f>
        <v>26</v>
      </c>
      <c r="E2">
        <f>[3]s003_stat!E2</f>
        <v>26</v>
      </c>
      <c r="F2">
        <f>[3]s003_stat!F2</f>
        <v>56</v>
      </c>
      <c r="G2">
        <f>[3]s003_stat!G2</f>
        <v>69</v>
      </c>
      <c r="H2">
        <f>[3]s003_stat!H2</f>
        <v>53</v>
      </c>
      <c r="I2">
        <f>[3]s003_stat!I2</f>
        <v>62</v>
      </c>
      <c r="J2">
        <f>[3]s003_stat!J2</f>
        <v>39</v>
      </c>
      <c r="K2">
        <f>[3]s003_stat!K2</f>
        <v>58</v>
      </c>
      <c r="L2">
        <f>[3]s003_stat!L2</f>
        <v>0.62</v>
      </c>
      <c r="M2">
        <f>[3]s003_stat!M2</f>
        <v>0.83</v>
      </c>
      <c r="N2">
        <f>[3]s003_stat!N2</f>
        <v>0.52</v>
      </c>
      <c r="Q2">
        <f>SUM(J2:J12)</f>
        <v>367</v>
      </c>
      <c r="R2">
        <f>SUM(K2:K12)</f>
        <v>404</v>
      </c>
    </row>
    <row r="3" spans="1:18">
      <c r="A3" t="str">
        <f>[3]s003_stat!A3</f>
        <v>c202</v>
      </c>
      <c r="B3">
        <f>[3]s003_stat!B3</f>
        <v>21</v>
      </c>
      <c r="C3">
        <f>[3]s003_stat!C3</f>
        <v>36</v>
      </c>
      <c r="D3">
        <f>[3]s003_stat!D3</f>
        <v>24</v>
      </c>
      <c r="E3">
        <f>[3]s003_stat!E3</f>
        <v>36</v>
      </c>
      <c r="F3">
        <f>[3]s003_stat!F3</f>
        <v>44</v>
      </c>
      <c r="G3">
        <f>[3]s003_stat!G3</f>
        <v>72</v>
      </c>
      <c r="H3">
        <f>[3]s003_stat!H3</f>
        <v>41</v>
      </c>
      <c r="I3">
        <f>[3]s003_stat!I3</f>
        <v>56</v>
      </c>
      <c r="J3">
        <f>[3]s003_stat!J3</f>
        <v>35</v>
      </c>
      <c r="K3">
        <f>[3]s003_stat!K3</f>
        <v>56</v>
      </c>
      <c r="L3">
        <f>[3]s003_stat!L3</f>
        <v>0.78</v>
      </c>
      <c r="M3">
        <f>[3]s003_stat!M3</f>
        <v>0.78</v>
      </c>
      <c r="N3">
        <f>[3]s003_stat!N3</f>
        <v>0.45</v>
      </c>
    </row>
    <row r="4" spans="1:18">
      <c r="A4" t="str">
        <f>[3]s003_stat!A4</f>
        <v>c203</v>
      </c>
      <c r="B4">
        <f>[3]s003_stat!B4</f>
        <v>18</v>
      </c>
      <c r="C4">
        <f>[3]s003_stat!C4</f>
        <v>20</v>
      </c>
      <c r="D4">
        <f>[3]s003_stat!D4</f>
        <v>22</v>
      </c>
      <c r="E4">
        <f>[3]s003_stat!E4</f>
        <v>27</v>
      </c>
      <c r="F4">
        <f>[3]s003_stat!F4</f>
        <v>36</v>
      </c>
      <c r="G4">
        <f>[3]s003_stat!G4</f>
        <v>40</v>
      </c>
      <c r="H4">
        <f>[3]s003_stat!H4</f>
        <v>36</v>
      </c>
      <c r="I4">
        <f>[3]s003_stat!I4</f>
        <v>40</v>
      </c>
      <c r="J4">
        <f>[3]s003_stat!J4</f>
        <v>34</v>
      </c>
      <c r="K4">
        <f>[3]s003_stat!K4</f>
        <v>40</v>
      </c>
      <c r="L4">
        <f>[3]s003_stat!L4</f>
        <v>0.85</v>
      </c>
      <c r="M4">
        <f>[3]s003_stat!M4</f>
        <v>0.85</v>
      </c>
      <c r="N4">
        <f>[3]s003_stat!N4</f>
        <v>0.65</v>
      </c>
    </row>
    <row r="5" spans="1:18">
      <c r="A5" t="str">
        <f>[3]s003_stat!A5</f>
        <v>c204</v>
      </c>
      <c r="B5">
        <f>[3]s003_stat!B5</f>
        <v>0</v>
      </c>
      <c r="C5">
        <f>[3]s003_stat!C5</f>
        <v>0</v>
      </c>
      <c r="D5">
        <f>[3]s003_stat!D5</f>
        <v>23</v>
      </c>
      <c r="E5">
        <f>[3]s003_stat!E5</f>
        <v>30</v>
      </c>
      <c r="F5">
        <f>[3]s003_stat!F5</f>
        <v>23</v>
      </c>
      <c r="G5">
        <f>[3]s003_stat!G5</f>
        <v>28</v>
      </c>
      <c r="H5">
        <f>[3]s003_stat!H5</f>
        <v>22</v>
      </c>
      <c r="I5">
        <f>[3]s003_stat!I5</f>
        <v>19</v>
      </c>
      <c r="J5">
        <f>[3]s003_stat!J5</f>
        <v>22</v>
      </c>
      <c r="K5">
        <f>[3]s003_stat!K5</f>
        <v>19</v>
      </c>
      <c r="L5">
        <f>[3]s003_stat!L5</f>
        <v>0.96</v>
      </c>
      <c r="M5">
        <f>[3]s003_stat!M5</f>
        <v>0.63</v>
      </c>
      <c r="N5">
        <f>[3]s003_stat!N5</f>
        <v>0.52</v>
      </c>
    </row>
    <row r="6" spans="1:18">
      <c r="A6" t="str">
        <f>[3]s003_stat!A6</f>
        <v>c205</v>
      </c>
      <c r="B6">
        <f>[3]s003_stat!B6</f>
        <v>43</v>
      </c>
      <c r="C6">
        <f>[3]s003_stat!C6</f>
        <v>52</v>
      </c>
      <c r="D6">
        <f>[3]s003_stat!D6</f>
        <v>15</v>
      </c>
      <c r="E6">
        <f>[3]s003_stat!E6</f>
        <v>16</v>
      </c>
      <c r="F6">
        <f>[3]s003_stat!F6</f>
        <v>48</v>
      </c>
      <c r="G6">
        <f>[3]s003_stat!G6</f>
        <v>53</v>
      </c>
      <c r="H6">
        <f>[3]s003_stat!H6</f>
        <v>46</v>
      </c>
      <c r="I6">
        <f>[3]s003_stat!I6</f>
        <v>41</v>
      </c>
      <c r="J6">
        <f>[3]s003_stat!J6</f>
        <v>45</v>
      </c>
      <c r="K6">
        <f>[3]s003_stat!K6</f>
        <v>41</v>
      </c>
      <c r="L6">
        <f>[3]s003_stat!L6</f>
        <v>0.78</v>
      </c>
      <c r="M6">
        <f>[3]s003_stat!M6</f>
        <v>0.6</v>
      </c>
      <c r="N6">
        <f>[3]s003_stat!N6</f>
        <v>0.48</v>
      </c>
    </row>
    <row r="7" spans="1:18">
      <c r="A7" t="str">
        <f>[3]s003_stat!A7</f>
        <v>c206</v>
      </c>
      <c r="B7">
        <f>[3]s003_stat!B7</f>
        <v>29</v>
      </c>
      <c r="C7">
        <f>[3]s003_stat!C7</f>
        <v>46</v>
      </c>
      <c r="D7">
        <f>[3]s003_stat!D7</f>
        <v>18</v>
      </c>
      <c r="E7">
        <f>[3]s003_stat!E7</f>
        <v>24</v>
      </c>
      <c r="F7">
        <f>[3]s003_stat!F7</f>
        <v>41</v>
      </c>
      <c r="G7">
        <f>[3]s003_stat!G7</f>
        <v>70</v>
      </c>
      <c r="H7">
        <f>[3]s003_stat!H7</f>
        <v>41</v>
      </c>
      <c r="I7">
        <f>[3]s003_stat!I7</f>
        <v>59</v>
      </c>
      <c r="J7">
        <f>[3]s003_stat!J7</f>
        <v>30</v>
      </c>
      <c r="K7">
        <f>[3]s003_stat!K7</f>
        <v>53</v>
      </c>
      <c r="L7">
        <f>[3]s003_stat!L7</f>
        <v>0.64</v>
      </c>
      <c r="M7">
        <f>[3]s003_stat!M7</f>
        <v>0.76</v>
      </c>
      <c r="N7">
        <f>[3]s003_stat!N7</f>
        <v>0.55</v>
      </c>
    </row>
    <row r="8" spans="1:18">
      <c r="A8" t="str">
        <f>[3]s003_stat!A8</f>
        <v>c207</v>
      </c>
      <c r="B8">
        <f>[3]s003_stat!B8</f>
        <v>22</v>
      </c>
      <c r="C8">
        <f>[3]s003_stat!C8</f>
        <v>47</v>
      </c>
      <c r="D8">
        <f>[3]s003_stat!D8</f>
        <v>26</v>
      </c>
      <c r="E8">
        <f>[3]s003_stat!E8</f>
        <v>28</v>
      </c>
      <c r="F8">
        <f>[3]s003_stat!F8</f>
        <v>43</v>
      </c>
      <c r="G8">
        <f>[3]s003_stat!G8</f>
        <v>32</v>
      </c>
      <c r="H8">
        <f>[3]s003_stat!H8</f>
        <v>40</v>
      </c>
      <c r="I8">
        <f>[3]s003_stat!I8</f>
        <v>22</v>
      </c>
      <c r="J8">
        <f>[3]s003_stat!J8</f>
        <v>32</v>
      </c>
      <c r="K8">
        <f>[3]s003_stat!K8</f>
        <v>22</v>
      </c>
      <c r="L8">
        <f>[3]s003_stat!L8</f>
        <v>0.67</v>
      </c>
      <c r="M8">
        <f>[3]s003_stat!M8</f>
        <v>0.29</v>
      </c>
      <c r="N8">
        <f>[3]s003_stat!N8</f>
        <v>0.52</v>
      </c>
    </row>
    <row r="9" spans="1:18">
      <c r="A9" t="str">
        <f>[3]s003_stat!A9</f>
        <v>c208</v>
      </c>
      <c r="B9">
        <f>[3]s003_stat!B9</f>
        <v>16</v>
      </c>
      <c r="C9">
        <f>[3]s003_stat!C9</f>
        <v>25</v>
      </c>
      <c r="D9">
        <f>[3]s003_stat!D9</f>
        <v>23</v>
      </c>
      <c r="E9">
        <f>[3]s003_stat!E9</f>
        <v>28</v>
      </c>
      <c r="F9">
        <f>[3]s003_stat!F9</f>
        <v>39</v>
      </c>
      <c r="G9">
        <f>[3]s003_stat!G9</f>
        <v>21</v>
      </c>
      <c r="H9">
        <f>[3]s003_stat!H9</f>
        <v>36</v>
      </c>
      <c r="I9">
        <f>[3]s003_stat!I9</f>
        <v>16</v>
      </c>
      <c r="J9">
        <f>[3]s003_stat!J9</f>
        <v>30</v>
      </c>
      <c r="K9">
        <f>[3]s003_stat!K9</f>
        <v>15</v>
      </c>
      <c r="L9">
        <f>[3]s003_stat!L9</f>
        <v>0.77</v>
      </c>
      <c r="M9">
        <f>[3]s003_stat!M9</f>
        <v>0.28</v>
      </c>
      <c r="N9">
        <f>[3]s003_stat!N9</f>
        <v>0.39</v>
      </c>
    </row>
    <row r="10" spans="1:18">
      <c r="A10" t="str">
        <f>[3]s003_stat!A10</f>
        <v>c209</v>
      </c>
      <c r="B10">
        <f>[3]s003_stat!B10</f>
        <v>36</v>
      </c>
      <c r="C10">
        <f>[3]s003_stat!C10</f>
        <v>51</v>
      </c>
      <c r="D10">
        <f>[3]s003_stat!D10</f>
        <v>26</v>
      </c>
      <c r="E10">
        <f>[3]s003_stat!E10</f>
        <v>34</v>
      </c>
      <c r="F10">
        <f>[3]s003_stat!F10</f>
        <v>60</v>
      </c>
      <c r="G10">
        <f>[3]s003_stat!G10</f>
        <v>78</v>
      </c>
      <c r="H10">
        <f>[3]s003_stat!H10</f>
        <v>55</v>
      </c>
      <c r="I10">
        <f>[3]s003_stat!I10</f>
        <v>55</v>
      </c>
      <c r="J10">
        <f>[3]s003_stat!J10</f>
        <v>44</v>
      </c>
      <c r="K10">
        <f>[3]s003_stat!K10</f>
        <v>49</v>
      </c>
      <c r="L10">
        <f>[3]s003_stat!L10</f>
        <v>0.71</v>
      </c>
      <c r="M10">
        <f>[3]s003_stat!M10</f>
        <v>0.58</v>
      </c>
      <c r="N10">
        <f>[3]s003_stat!N10</f>
        <v>0.52</v>
      </c>
    </row>
    <row r="11" spans="1:18">
      <c r="A11" t="str">
        <f>[3]s003_stat!A11</f>
        <v>c210</v>
      </c>
      <c r="B11">
        <f>[3]s003_stat!B11</f>
        <v>22</v>
      </c>
      <c r="C11">
        <f>[3]s003_stat!C11</f>
        <v>23</v>
      </c>
      <c r="D11">
        <f>[3]s003_stat!D11</f>
        <v>19</v>
      </c>
      <c r="E11">
        <f>[3]s003_stat!E11</f>
        <v>21</v>
      </c>
      <c r="F11">
        <f>[3]s003_stat!F11</f>
        <v>36</v>
      </c>
      <c r="G11">
        <f>[3]s003_stat!G11</f>
        <v>21</v>
      </c>
      <c r="H11">
        <f>[3]s003_stat!H11</f>
        <v>33</v>
      </c>
      <c r="I11">
        <f>[3]s003_stat!I11</f>
        <v>19</v>
      </c>
      <c r="J11">
        <f>[3]s003_stat!J11</f>
        <v>24</v>
      </c>
      <c r="K11">
        <f>[3]s003_stat!K11</f>
        <v>19</v>
      </c>
      <c r="L11">
        <f>[3]s003_stat!L11</f>
        <v>0.59</v>
      </c>
      <c r="M11">
        <f>[3]s003_stat!M11</f>
        <v>0.43</v>
      </c>
      <c r="N11">
        <f>[3]s003_stat!N11</f>
        <v>0.39</v>
      </c>
    </row>
    <row r="12" spans="1:18">
      <c r="A12" t="str">
        <f>[3]s003_stat!A12</f>
        <v>c211</v>
      </c>
      <c r="B12">
        <f>[3]s003_stat!B12</f>
        <v>27</v>
      </c>
      <c r="C12">
        <f>[3]s003_stat!C12</f>
        <v>35</v>
      </c>
      <c r="D12">
        <f>[3]s003_stat!D12</f>
        <v>18</v>
      </c>
      <c r="E12">
        <f>[3]s003_stat!E12</f>
        <v>20</v>
      </c>
      <c r="F12">
        <f>[3]s003_stat!F12</f>
        <v>43</v>
      </c>
      <c r="G12">
        <f>[3]s003_stat!G12</f>
        <v>53</v>
      </c>
      <c r="H12">
        <f>[3]s003_stat!H12</f>
        <v>37</v>
      </c>
      <c r="I12">
        <f>[3]s003_stat!I12</f>
        <v>32</v>
      </c>
      <c r="J12">
        <f>[3]s003_stat!J12</f>
        <v>32</v>
      </c>
      <c r="K12">
        <f>[3]s003_stat!K12</f>
        <v>32</v>
      </c>
      <c r="L12">
        <f>[3]s003_stat!L12</f>
        <v>0.71</v>
      </c>
      <c r="M12">
        <f>[3]s003_stat!M12</f>
        <v>0.58</v>
      </c>
      <c r="N12">
        <f>[3]s003_stat!N12</f>
        <v>0.61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sector_stat</vt:lpstr>
      <vt:lpstr>sector_data</vt:lpstr>
      <vt:lpstr>coverage</vt:lpstr>
      <vt:lpstr>coverage_stat</vt:lpstr>
      <vt:lpstr>s001_stat</vt:lpstr>
      <vt:lpstr>s002_stat</vt:lpstr>
      <vt:lpstr>s003_stat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meimei</dc:creator>
  <cp:lastModifiedBy>WPS_1732950773</cp:lastModifiedBy>
  <dcterms:created xsi:type="dcterms:W3CDTF">2026-05-30T15:47:00Z</dcterms:created>
  <dcterms:modified xsi:type="dcterms:W3CDTF">2026-06-07T21:24:37Z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6129B71D611D473082271C6A16C7382B_43</vt:lpwstr>
  </property>
  <property fmtid="{D5CDD505-2E9C-101B-9397-08002B2CF9AE}" pid="3" name="KSOProductBuildVer">
    <vt:lpwstr>1033-12.1.24031.24031</vt:lpwstr>
  </property>
  <property fmtid="{D5CDD505-2E9C-101B-9397-08002B2CF9AE}" pid="4" name="CalculationRule">
    <vt:i4>1</vt:i4>
  </property>
</Properties>
</file>