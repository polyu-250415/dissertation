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120" firstSheet="4" activeTab="7"/>
  </bookViews>
  <sheets>
    <sheet name="cross_sector_insights_tp" sheetId="4" r:id="rId1"/>
    <sheet name="TP Perspectives" sheetId="5" r:id="rId2"/>
    <sheet name="cross_sector_insights_tk" sheetId="6" r:id="rId3"/>
    <sheet name="TK Perspectives" sheetId="7" r:id="rId4"/>
    <sheet name="s001_insights" sheetId="3" r:id="rId5"/>
    <sheet name="s002_insights" sheetId="2" r:id="rId6"/>
    <sheet name="s003_insights" sheetId="1" r:id="rId7"/>
    <sheet name="pattern type" sheetId="8" r:id="rId8"/>
    <sheet name="potenial patterns" sheetId="10" r:id="rId9"/>
    <sheet name="TP07–TK10" sheetId="11" r:id="rId10"/>
  </sheets>
  <definedNames>
    <definedName name="_xlnm._FilterDatabase" localSheetId="0" hidden="1">cross_sector_insights_tp!$A$1:$H$16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<sst xmlns="http://schemas.openxmlformats.org/spreadsheetml/2006/main" count="696" uniqueCount="497">
  <si>
    <t>ID</t>
  </si>
  <si>
    <t>Name</t>
  </si>
  <si>
    <t>Scope</t>
  </si>
  <si>
    <t>Perspective</t>
  </si>
  <si>
    <t>s001:Construction</t>
  </si>
  <si>
    <t>s002:Manufacturing</t>
  </si>
  <si>
    <t>s003:Health Services</t>
  </si>
  <si>
    <t>field</t>
  </si>
  <si>
    <t>TP01</t>
  </si>
  <si>
    <t>Model-based Knowledge Representation and Simulation</t>
  </si>
  <si>
    <t>Uses BIM, 3D/4D models, engineering simulations, virtual models, and computational scenarios to represent assets, environments, construction processes, system behavior, and performance relationships.</t>
  </si>
  <si>
    <t>Digital Codification</t>
  </si>
  <si>
    <t>&lt;TP01, TK06&gt;</t>
  </si>
  <si>
    <t>&lt;TP01, TK05&gt;
&lt;TP01, TK10&gt;</t>
  </si>
  <si>
    <t>TP02</t>
  </si>
  <si>
    <t>Spatial Knowledge Capture and Geospatial Reconstruction</t>
  </si>
  <si>
    <t>Uses UAVs, photogrammetry, laser scanning, GIS, and surveying technologies to convert physical and spatial conditions into measurable digital representations.</t>
  </si>
  <si>
    <t>TP03</t>
  </si>
  <si>
    <t>Situated Experiential Learning through Extended Reality</t>
  </si>
  <si>
    <t>Uses VR, AR, MR, CAVE, or hybrid XR environments to support embodied rehearsal, contextual guidance, historical interpretation, hazard recognition, and situated knowledge transfer.</t>
  </si>
  <si>
    <t>Experiential Amplification</t>
  </si>
  <si>
    <t>&lt;TP03, TK05&gt;
&lt;TP03, TK06&gt;</t>
  </si>
  <si>
    <t>&lt;TP03, TK07&gt;
&lt;TP03, TK08&gt;
&lt;TP03, TK10&gt;</t>
  </si>
  <si>
    <t>&lt;TP03, TK04&gt;
&lt;TP03, TK11&gt;</t>
  </si>
  <si>
    <t>TP04</t>
  </si>
  <si>
    <t>Interactive Consequence Learning and Digital Feedback</t>
  </si>
  <si>
    <t>Uses responsive simulations, animations, indicators, interfaces, or multisensory feedback to make relationships between actions, system states, and consequences experientially perceptible.</t>
  </si>
  <si>
    <t>TP05</t>
  </si>
  <si>
    <t>Real-time Condition Intelligence through IoT Monitoring</t>
  </si>
  <si>
    <t>Uses connected sensors and real-time data streams to capture building performance, occupancy, environmental conditions, and operational states.</t>
  </si>
  <si>
    <t>TP06</t>
  </si>
  <si>
    <t>Worker Activity and State Capture through Wearable Sensors and Cameras</t>
  </si>
  <si>
    <t>Uses IMUs, wearable sensors, eye trackers, cameras, and video analysis to record workers’ movement, posture, gaze, workload, task sequences, and situated work activities.</t>
  </si>
  <si>
    <t>&lt;TP06, TK06&gt;
&lt;TP06, TK07&gt;</t>
  </si>
  <si>
    <t>TP07</t>
  </si>
  <si>
    <t>Algorithmic Pattern Discovery and Prediction</t>
  </si>
  <si>
    <t>Uses AI, machine learning, NLP, statistical learning, or rule-based algorithms to derive classifications, forecasts, detected patterns, and predicted conditions from data.</t>
  </si>
  <si>
    <t>&lt;TP07, TK06&gt;</t>
  </si>
  <si>
    <t>&lt;TP07, TK10&gt;</t>
  </si>
  <si>
    <t>TP08</t>
  </si>
  <si>
    <t>Generative Knowledge Synthesis and Content Production</t>
  </si>
  <si>
    <t>Uses generative AI to combine requirements, contextual data, and retrieved knowledge into new drafts, reports, explanations, summaries, or recommendations.</t>
  </si>
  <si>
    <t>&lt;TP08, TK12&gt;</t>
  </si>
  <si>
    <t>TP09</t>
  </si>
  <si>
    <t>Semantic Knowledge Structuring and Retrieval</t>
  </si>
  <si>
    <t>Uses knowledge graphs, semantic metadata, embeddings, vector databases, and meaning-based search to represent knowledge relationships and retrieve contextually relevant information.</t>
  </si>
  <si>
    <t>&lt;TP09, TK05&gt;</t>
  </si>
  <si>
    <t>TP10</t>
  </si>
  <si>
    <t>Database-supported Project Knowledge Archiving</t>
  </si>
  <si>
    <t>Preserves and retrieves codified project records, narratives, lessons learned, safety information, and operational knowledge through databases, data warehouses, or conventional KMS repositories.</t>
  </si>
  <si>
    <t>&lt;TP10, TK04&gt;
&lt;TP10, TK05&gt;</t>
  </si>
  <si>
    <t>TP11</t>
  </si>
  <si>
    <t>Collaborative Knowledge Co-creation through Digital Platforms</t>
  </si>
  <si>
    <t>Uses portals, messaging systems, shared virtual environments, and online collaboration platforms to support peer exchange, collective interpretation, user contribution, and shared knowledge construction.</t>
  </si>
  <si>
    <t>&lt;TP11, TK04&gt;</t>
  </si>
  <si>
    <t>TP12</t>
  </si>
  <si>
    <t>Multimedia and Blended Knowledge Internalization</t>
  </si>
  <si>
    <t>Combines digital content, interactive media, online resources, and face-to-face or workplace activities to strengthen demonstration, participation, and knowledge internalization.</t>
  </si>
  <si>
    <t>&lt;TP12, TK05&gt;</t>
  </si>
  <si>
    <t>TP13</t>
  </si>
  <si>
    <t>Criteria-based Performance Evaluation and Ranking</t>
  </si>
  <si>
    <t>Measures, compares, scores, or ranks learners, models, interventions, and alternatives using predefined criteria, indicators, benchmarks, or performance metrics.</t>
  </si>
  <si>
    <t>&lt;TP13, TK10&gt;</t>
  </si>
  <si>
    <t>TP15</t>
  </si>
  <si>
    <t>Distributed-Ledger-enabled Transaction Assurance and Traceability</t>
  </si>
  <si>
    <t>Uses blockchain or distributed-ledger technologies to create verifiable transaction records, strengthen provenance and supply-chain traceability, validate products, and automate trusted exchanges through smart contracts or related mechanisms.</t>
  </si>
  <si>
    <t>TP16</t>
  </si>
  <si>
    <t>Gamified Procedural and Scenario-based Learning</t>
  </si>
  <si>
    <t>Uses structured games, quizzes, cards, role-playing scenarios, and realistic problem cases to help learners reconstruct procedural sequences, apply operational criteria, recognize errors, and select appropriate responses.</t>
  </si>
  <si>
    <t>Practice</t>
  </si>
  <si>
    <t>Retention Mechanism</t>
  </si>
  <si>
    <t>Sector coverage</t>
  </si>
  <si>
    <t>Relevant sectors</t>
  </si>
  <si>
    <t>Potential Pattern</t>
  </si>
  <si>
    <t>Potential Patterns</t>
  </si>
  <si>
    <t>2/3</t>
  </si>
  <si>
    <t>Construction; Health Services</t>
  </si>
  <si>
    <t>TK Convergence: TK06 
TK Divergence: TK05; TK10</t>
  </si>
  <si>
    <t>Perceptual convergence with health-specific extension to motor skill and professional judgment</t>
  </si>
  <si>
    <t>3/3</t>
  </si>
  <si>
    <t>Construction; Manufacturing; Health Services</t>
  </si>
  <si>
    <t>TK Convergence: TK05; TK06; TK07; TK08; TK10 
TK Divergence: TK04; TK11</t>
  </si>
  <si>
    <t>Strong embodied–perceptual convergence with sector-specific extensions of situated know-how</t>
  </si>
  <si>
    <t>Manufacturing; Health Services</t>
  </si>
  <si>
    <t>TK Convergence: None identified 
TK Divergence: TK05; TK10</t>
  </si>
  <si>
    <t>Sector-divergent experiential feedback targeting motor skill and professional judgment</t>
  </si>
  <si>
    <t>Construction; Manufacturing</t>
  </si>
  <si>
    <t>TK Convergence: TK06; TK07 
TK Divergence: TK04; TK05</t>
  </si>
  <si>
    <t>Embodied–perceptual convergence with broader know-how capture in manufacturing</t>
  </si>
  <si>
    <t>TK Convergence: TK06; TK10 
TK Divergence: TK02; TK04; TK05</t>
  </si>
  <si>
    <t>Perceptual convergence with sector-specific extensions to judgment, demonstration, motor skill, and unarticulated know-how</t>
  </si>
  <si>
    <t>TK Convergence: TK12 
TK Divergence: TK06; TK07</t>
  </si>
  <si>
    <t>Organizational-practice convergence with manufacturing extension to embodied–perceptual knowledge</t>
  </si>
  <si>
    <t>TK Convergence: TK05 
TK Divergence: TK02; TK09; TK10; TK12</t>
  </si>
  <si>
    <r>
      <rPr>
        <sz val="10.5"/>
        <color rgb="FF000000"/>
        <rFont val="Times New Roman Regular"/>
        <charset val="134"/>
      </rPr>
      <t>cross-industry</t>
    </r>
    <r>
      <rPr>
        <sz val="10.5"/>
        <color rgb="FF000000"/>
        <rFont val="Times New Roman Regular"/>
        <charset val="134"/>
      </rPr>
      <t xml:space="preserve"> </t>
    </r>
    <r>
      <rPr>
        <sz val="10.5"/>
        <color rgb="FF000000"/>
        <rFont val="Times New Roman Regular"/>
        <charset val="134"/>
      </rPr>
      <t>recurrence with divergent knowledge targets</t>
    </r>
  </si>
  <si>
    <t>TK Convergence: TK04; TK05 
TK Divergence: TK02; TK09; TK10; TK11; TK12</t>
  </si>
  <si>
    <r>
      <rPr>
        <sz val="10.5"/>
        <color rgb="FF000000"/>
        <rFont val="Times New Roman Regular"/>
        <charset val="134"/>
      </rPr>
      <t>cross-industry</t>
    </r>
    <r>
      <rPr>
        <sz val="10.5"/>
        <color rgb="FF000000"/>
        <rFont val="Times New Roman Regular"/>
        <charset val="134"/>
      </rPr>
      <t xml:space="preserve"> </t>
    </r>
    <r>
      <rPr>
        <sz val="10.5"/>
        <color rgb="FF000000"/>
        <rFont val="Times New Roman Regular"/>
        <charset val="134"/>
      </rPr>
      <t>recurrence with strongly sector-divergent archival knowledge targets</t>
    </r>
  </si>
  <si>
    <t>TK Convergence: TK04 
TK Divergence: TK02; TK09; TK10; TK12</t>
  </si>
  <si>
    <t>Interpersonal and socially embedded know-how convergence with sector-specific professional and organizational extensions</t>
  </si>
  <si>
    <t>TK Convergence: TK05 
TK Divergence: TK10; TK11</t>
  </si>
  <si>
    <t>Strong motor-skill convergence with sector-specific social and professional extensions</t>
  </si>
  <si>
    <t>TK Convergence: TK10 
TK Divergence: TK05; TK12</t>
  </si>
  <si>
    <t>Professional-judgment convergence with sector-specific motor and organizational extensions</t>
  </si>
  <si>
    <t>1/3</t>
  </si>
  <si>
    <t>Health Services</t>
  </si>
  <si>
    <t>TK Convergence: None identified 
TK Divergence: TK04</t>
  </si>
  <si>
    <t>Unarticulated personal know-how</t>
  </si>
  <si>
    <t>Manufacturing</t>
  </si>
  <si>
    <t>TK Convergence: None identified 
TK Divergence: TK05; TK06</t>
  </si>
  <si>
    <t>Embodied–perceptual learning pattern</t>
  </si>
  <si>
    <t>Collins TK Taxonomy</t>
  </si>
  <si>
    <t>filed</t>
  </si>
  <si>
    <t>Sectors</t>
  </si>
  <si>
    <t>TK02</t>
  </si>
  <si>
    <t>Knowledge Conveyed Through Examples or Demonstration</t>
  </si>
  <si>
    <t>Knowledge transferred through cases, stories, simulations, examples, pointing, or practical demonstration because a sufficient verbal account has not been provided.</t>
  </si>
  <si>
    <t>Relational Tacit Knowledge</t>
  </si>
  <si>
    <t>TP07 Algorithmic Pattern Discovery and Prediction
TP10 Database-supported Project Knowledge Archiving</t>
  </si>
  <si>
    <t>TP09 Semantic Knowledge Structuring and Retrieval
TP11 Collaborative Knowledge Co-creation through Digital Platforms</t>
  </si>
  <si>
    <t>TK04</t>
  </si>
  <si>
    <t>Unrecognized or Unarticulated Personal Know-how</t>
  </si>
  <si>
    <t>A person performs or decides effectively but has not consciously identified, reflected upon, or expressed the knowledge being used.</t>
  </si>
  <si>
    <t>TP10 Database-supported Project Knowledge Archiving</t>
  </si>
  <si>
    <t>TP03 Situated Experiential Learning through Extended Reality
TP06 Worker Activity and State Capture through Wearable Sensors and Cameras
TP07 Algorithmic Pattern Discovery and Prediction
TP10 Database-supported Project Knowledge Archiving
TP11 Collaborative Knowledge Co-creation through Digital Platforms</t>
  </si>
  <si>
    <t>TP11 Collaborative Knowledge Co-creation through Digital Platforms
TP15 Distributed-Ledger-enabled Transaction Assurance and Traceability</t>
  </si>
  <si>
    <t>TK05</t>
  </si>
  <si>
    <t>Practised Motor and Tool-Operation Skill</t>
  </si>
  <si>
    <t>Competence requiring learned bodily control and coordination during physical work or tool-mediated activity.</t>
  </si>
  <si>
    <t>Somatic Tacit Knowledge</t>
  </si>
  <si>
    <t>TP03 Situated Experiential Learning through Extended Reality
TP09 Semantic Knowledge Structuring and Retrieval
TP10 Database-supported Project Knowledge Archiving
TP12 Multimedia and Blended Knowledge Internalization</t>
  </si>
  <si>
    <t>TP03 Situated Experiential Learning through Extended Reality
TP04 Interactive Consequence Learning and Digital Feedback
TP06 Worker Activity and State Capture through Wearable Sensors and Cameras
TP07 Algorithmic Pattern Discovery and Prediction
TP10 Database-supported Project Knowledge Archiving
TP12 Multimedia and Blended Knowledge Internalization
TP13 Criteria-based Performance Evaluation and Ranking
TP16 Gamified Procedural and Scenario-based Learning</t>
  </si>
  <si>
    <t>TP01 Model-based Knowledge Representation and Simulation
TP03 Situated Experiential Learning through Extended Reality
TP09 Semantic Knowledge Structuring and Retrieval
TP12 Multimedia and Blended Knowledge Internalization</t>
  </si>
  <si>
    <t>TK06</t>
  </si>
  <si>
    <t>Trained Sensory and Perceptual Recognition</t>
  </si>
  <si>
    <t>A learned capacity to detect meaningful visual, auditory, tactile, spatial, or other sensory differences.</t>
  </si>
  <si>
    <t>TP01 Model-based Knowledge Representation and Simulation
TP03 Situated Experiential Learning through Extended Reality
TP06 Worker Activity and State Capture through Wearable Sensors and Cameras
TP07 Algorithmic Pattern Discovery and Prediction</t>
  </si>
  <si>
    <t>TP03 Situated Experiential Learning through Extended Reality
TP06 Worker Activity and State Capture through Wearable Sensors and Cameras
TP07 Algorithmic Pattern Discovery and Prediction
TP08 Generative Knowledge Synthesis and Content Production
TP16 Gamified Procedural and Scenario-based Learning</t>
  </si>
  <si>
    <t>TP01 Model-based Knowledge Representation and Simulation
TP03 Situated Experiential Learning through Extended Reality
TP07 Algorithmic Pattern Discovery and Prediction</t>
  </si>
  <si>
    <t>TK07</t>
  </si>
  <si>
    <t>Embodied Posture, Balance, and Spatial Control</t>
  </si>
  <si>
    <t>Bodily competence involving posture, balance, orientation, movement, distance, positioning, or spatial awareness.</t>
  </si>
  <si>
    <t>TP03 Situated Experiential Learning through Extended Reality
TP06 Worker Activity and State Capture through Wearable Sensors and Cameras</t>
  </si>
  <si>
    <t>TP03 Situated Experiential Learning through Extended Reality
TP06 Worker Activity and State Capture through Wearable Sensors and Cameras
TP08 Generative Knowledge Synthesis and Content Production</t>
  </si>
  <si>
    <t>TK08</t>
  </si>
  <si>
    <t>Immediate Embodied Response to Changing Conditions</t>
  </si>
  <si>
    <t>Rapid bodily or neurophysiological response to hazards or changing conditions, often preceding complete conscious reasoning.</t>
  </si>
  <si>
    <t>TP03 Situated Experiential Learning through Extended Reality</t>
  </si>
  <si>
    <t>TK09</t>
  </si>
  <si>
    <t>Shared Professional Language and Contextual Meaning</t>
  </si>
  <si>
    <t>Understanding that depends on participation in a community sharing specialized terms, categories, expressions, narratives, and contextual meanings.</t>
  </si>
  <si>
    <t>Collective Tacit Knowledge</t>
  </si>
  <si>
    <t>TP11 Collaborative Knowledge Co-creation through Digital Platforms</t>
  </si>
  <si>
    <t>TP09 Semantic Knowledge Structuring and Retrieval
TP10 Database-supported Project Knowledge Archiving</t>
  </si>
  <si>
    <t>TK10</t>
  </si>
  <si>
    <t>Shared Professional Norms and Standards of Judgment</t>
  </si>
  <si>
    <t>Judgment grounded in collectively learned expectations about what is appropriate, acceptable, credible, safe, or legitimate.</t>
  </si>
  <si>
    <t>TP03 Situated Experiential Learning through Extended Reality
TP07 Algorithmic Pattern Discovery and Prediction
TP10 Database-supported Project Knowledge Archiving
TP13 Criteria-based Performance Evaluation and Ranking</t>
  </si>
  <si>
    <t>TP12 Multimedia and Blended Knowledge Internalization
TP13 Criteria-based Performance Evaluation and Ranking</t>
  </si>
  <si>
    <t>TP01 Model-based Knowledge Representation and Simulation
TP03 Situated Experiential Learning through Extended Reality
TP04 Interactive Consequence Learning and Digital Feedback
TP07 Algorithmic Pattern Discovery and Prediction
TP09 Semantic Knowledge Structuring and Retrieval
TP11 Collaborative Knowledge Co-creation through Digital Platforms</t>
  </si>
  <si>
    <t>TK11</t>
  </si>
  <si>
    <t>Informal Coordination, Communication, and Escalation Know-how</t>
  </si>
  <si>
    <t>Unwritten conventions governing coordination, communication, negotiation, signalling, collaboration, contact, and escalation within a group.</t>
  </si>
  <si>
    <t>TP10 Database-supported Project Knowledge Archiving
TP12 Multimedia and Blended Knowledge Internalization</t>
  </si>
  <si>
    <t>TK12</t>
  </si>
  <si>
    <t>Organizational Culture and Unwritten Working Practices</t>
  </si>
  <si>
    <t>Knowledge embedded in organizational identity, traditions, routines, authority relations, and historically developed ways of working.</t>
  </si>
  <si>
    <t>TP08 Generative Knowledge Synthesis and Content Production
TP10 Database-supported Project Knowledge Archiving</t>
  </si>
  <si>
    <t>TP08 Generative Knowledge Synthesis and Content Production
TP09 Semantic Knowledge Structuring and Retrieval
TP11 Collaborative Knowledge Co-creation through Digital Platforms</t>
  </si>
  <si>
    <t>TP13 Criteria-based Performance Evaluation and Ranking</t>
  </si>
  <si>
    <t>Retention Taxonomy</t>
  </si>
  <si>
    <t>TP Convergence: None identified 
TP Divergence: TP07; TP09; TP10; TP11</t>
  </si>
  <si>
    <t>TP Convergence: TP10; TP11 
TP Divergence: TP03; TP06; TP07; TP15</t>
  </si>
  <si>
    <t>TP Convergence: TP03; TP09; TP10; TP12 
TP Divergence: TP01; TP04; TP06; TP07; TP13; TP16</t>
  </si>
  <si>
    <t>TP Convergence: TP01; TP03; TP06; TP07 
TP Divergence: TP08; TP16</t>
  </si>
  <si>
    <t>TP Convergence: TP03; 
TP06 TP Divergence: TP08</t>
  </si>
  <si>
    <t>TP Convergence: TP03 
TP Divergence: None identified</t>
  </si>
  <si>
    <t>TP Convergence: None identified 
TP Divergence: TP09; TP10; TP11</t>
  </si>
  <si>
    <t>TP Convergence: TP03; TP07; TP13 TP 
Divergence: TP01; TP04; TP09; TP10; TP11; TP12</t>
  </si>
  <si>
    <t>TP Convergence: None identified 
TP Divergence: TP03; TP10; TP12</t>
  </si>
  <si>
    <t>TP Convergence: TP08 
TP Divergence: TP09; TP10; TP11; TP13</t>
  </si>
  <si>
    <t>node_id</t>
  </si>
  <si>
    <t>category</t>
  </si>
  <si>
    <t>insight</t>
  </si>
  <si>
    <t>primary_retention_category</t>
  </si>
  <si>
    <t>retention_mechanism</t>
  </si>
  <si>
    <t>tacit_knowledge_retained</t>
  </si>
  <si>
    <t>evidence_chain</t>
  </si>
  <si>
    <t>s001M01TP03</t>
  </si>
  <si>
    <t>Technology-enable Retention Mechanism</t>
  </si>
  <si>
    <t>Focal technology-enabled tacit knowledge retention approach. Situated Experiential Learning through Extended Reality is classified as Experience Amplification. The aggregated practice uses VR, AR, MR, CAVE, and hybrid environments to reconstruct consequential cues, let learners navigate or act, and return immediate sensory or instructional feedback (node_id:s001M01TP03). Its dominant function is rehearsal and situated perception
 3D assets and logs are supporting representations rather than the principal retained object.
Evidence chain (directional and bounded). The practice adopts Artificial Intelligence and Intelligent Computation (node_id:s001M01TE01)
 Human–Computer Interaction and Immersive Technologies such as Unity, HoloLens, Oculus, HTC VIVE, and CAVE (node_id:s001M01TE02)
 cyber-physical, modelling, sensing, mobile, and supporting tools (node_id:s001M01TE03
 node_id:s001M01TE04
 node_id:s001M01TE05
 node_id:s001M01TE07
 node_id:s001M01TE09). It transfers Trained Sensory and Perceptual Recognition (node_id:s001M01TK06) through clearer and interactive hazard visualization and transfers Shared Professional Norms and Standards of Judgment (node_id:s001M01TK10) through risk assessment, equipment choice, and consequence feedback. It also captures Practised Motor and Tool-Operation Skill, Embodied Posture and Spatial Control, and Immediate Embodied Response (node_id:s001M01TK05
 node_id:s001M01TK07
 node_id:s001M01TK08) through recorded craft sequences, VR behaviour, and practical performance assessment.
Retention mechanism. Experience Amplification follows the mechanism reconstructed cues → learner action → feedback or consequence → stabilized experiential pattern. Cross-case evidence supports this pattern: AR and VR made hazards perceptible and improved identification
 virtual excavation enabled practical performance before and after training
 problem-first VR required selection under uncertainty and then displayed accident consequences. Long-term evidence is mixed. One VR cohort showed no significant knowledge decline after four weeks and problem-first VR outperformed direct instruction, yet another comparison found significant forgetting after four to five weeks, and long-term practical performance was not tested. Thus the graph supports stronger experiential learning and some retention, not uniform causal persistence.
Tacit knowledge retained. The core retained knowledge is embodied hazard recognition and judgment: perceiving hazards, assessing severity and likelihood, choosing protective equipment, navigating space, and responding rapidly. Such knowledge is difficult to retain because passive instruction lacks interaction, learners forget, expertise levels differ, and context-dependent judgment resists full articulation (node_id:s001M01LI01
 node_id:s001M01LI03
 node_id:s001M01LI04
 node_id:s001M01LI10). XR mitigates these limits by permitting safe failure, reproducing otherwise inaccessible or unethical disaster conditions, making consequences visible, and linking knowing to doing. It does not eliminate motivation or expertise-reversal effects.
Conditions and constraints. The practice depends on regulatory and ethics controls, external connectivity, physical site conditions, retention-test timing, governance, technical resources, protected training time, participant availability, and task-aligned interface design (node_id:s001M01ED01
 node_id:s001M01ED05
 node_id:s001M01ED08
 node_id:s001M01ED10
 node_id:s001M01OD01
 node_id:s001M01OD03
 node_id:s001M01OD04
 node_id:s001M01OD05
 node_id:s001M01OD08). Constraints include cybersickness and withdrawal, age and working-memory differences, limited content coverage, interoperability and loading delays, scarce haptics and physical space, development workload, commercialization pressure, and narrow retention measures (node_id:s001M01LI02
 node_id:s001M01LI03
 node_id:s001M01LI04
 node_id:s001M01LI05
 node_id:s001M01LI06
 node_id:s001M01LI08
 node_id:s001M01LI12
 node_id:s001M01LI13).
Cross-case synthesis and theoretical statement. Heritage interpretation, construction hazard training, energy-use learning, and confined-space exercises are not separate focal practices here
 together they reveal a common experiential mechanism. Their complementarity also explains the limits: fidelity without accessible hardware excludes users, immersion without sound instructional design can overload them, and short-term performance without delayed workplace assessment leaves retention uncertain. Emerging XR retains tacit knowledge by amplifying situated experience and allowing safe, consequential practice, but only when governance, design, access, adaptation time, and repeated use convert immersive exposure into durable workplace judgment.</t>
  </si>
  <si>
    <t>Experience Amplification</t>
  </si>
  <si>
    <t>Extended-reality technologies retain tacit knowledge by reconstructing consequential workplace cues, enabling learners to act within simulated situations, and returning immediate sensory or instructional feedback. VR, AR, MR, and CAVE environments make hazards perceptible, support equipment selection and spatial navigation, permit safe failure, and reveal consequences that cannot be ethically recreated onsite. Repeated action stabilizes perceptual, motor, postural, response, and professional-judgment patterns. Across cases, hazard identification and practical performance improved, and some four-week persistence appeared, although forgetting was also observed. Durable retention therefore depends on sound instructional design, accessible hardware, adaptation time, governance, and repeated, task-aligned practice with delayed workplace assessment.</t>
  </si>
  <si>
    <t>TK05 Practised Motor and Tool-Operation Skill
TK06 Trained Sensory and Perceptual Recognition
TK07 Embodied Posture, Balance, and Spatial Control
TK08 Immediate Embodied Response to Changing Conditions
TK10 Shared Professional Norms and Standards of Judgment</t>
  </si>
  <si>
    <t>TE01
TE02
TE03
TE04
TE05
TE07
TE09 -&gt; TP03 -&gt; TK05
TK06
TK07
TK08
TK10</t>
  </si>
  <si>
    <t>s001M01TP12</t>
  </si>
  <si>
    <t>Focal technology-enabled tacit knowledge retention approach. Multimedia and Blended Knowledge Internalization is classified as Experience Amplification. It combines digital content, interactive media, online resources, and face-to-face or workplace activity so learners observe demonstrations, contribute, discuss, and apply knowledge (node_id:s001M01TP12). Its dominant function is strengthened experience and social participation, not merely the storage of content.
Evidence chain (directional and bounded). Interactive classroom technologies such as Vevox and Mentimeter (node_id:s001M01TE02), Moodle (node_id:s001M01TE04), Padlet and YouTube (node_id:s001M01TE07), and eBooks within the ambiguous technology class (node_id:s001M01TE09) are adopted by Multimedia and Blended Internalization (node_id:s001M01TP12). The practice transfers Practised Motor and Tool-Operation Skill (node_id:s001M01TK05) through technology-supported practical learning and demonstration, and transfers Informal Coordination, Communication, and Escalation Know-how (node_id:s001M01TK11) through group learning. The latter relationship is directly expressed as learning from groupmates.
Retention mechanism. Experience Amplification follows digital demonstration and content → active discussion or problem solving → application and peer feedback → internalization. YouTube scaffolding visualization and interactive platforms supply examples
 face-to-face participation and small-group exchange allow learners to interpret and rehearse them. The graph reports that 82 percent of respondents felt more involved and that flipped and block structures can reduce cognitive overload. These are plausible enabling outcomes, but no delayed retention test is linked to this practice, so long-term persistence remains unproven.
Tacit knowledge retained. The target knowledge is practical digital and construction skill plus the unwritten coordination habits learned through peer collaboration. These are hard to retain where craft inheritance is interrupted, formats fragment, and formal documentation misses interpersonal nuance (node_id:s001M01LI05
 node_id:s001M01LI10). Blended learning mitigates passive listening and the theory–practice gap (node_id:s001M01LI04) by making learners active contributors, but it does not automatically resolve absenteeism, unequal participation, or differences in prior education.
Conditions and constraints. The practice depends on institutional sponsorship (node_id:s001M01OD02), protected schedules and manageable class sizes (node_id:s001M01OD04), student engagement and co-creation (node_id:s001M01OD05), industry-aligned curriculum design (node_id:s001M01OD08), and the sociocultural diversity of learners (node_id:s001M01ED03). Student absence is an incompletely specified external dependency (node_id:s001M01ED10). Diverse backgrounds, scheduling pressure, and group dynamics constrain results (node_id:s001M01LI03
 node_id:s001M01LI08
 node_id:s001M01LI09).
Cross-case synthesis. Heritage craft display and higher-education blended learning contribute different components to the aggregate. The former suggests that lightweight digital presentation can extend access to craft processes, while the latter shows how interactive platforms, peer collaboration, and block teaching support internalization. The strongest tacit link is not the medium itself but participation around the medium: students interpret demonstrations, compare perspectives, and learn coordination from groupmates. Content availability without these interactions would be codified access rather than experiential retention.
Integrative theoretical statement. Blended technologies retain tacit knowledge primarily by amplifying socially situated practice. Digital content becomes durable know-how only when learners participate, receive contextual guidance, obtain feedback, and repeatedly translate representations into coordinated action. Evidence of later performance across different projects would strengthen the retention claim beyond reported engagement and immediate understanding. Institutional support and curriculum alignment are therefore not background variables but constitutive parts of the mechanism
 they determine whether multimedia is consumed passively or becomes a scaffold for practice.</t>
  </si>
  <si>
    <t>Blended technologies retain tacit knowledge by combining demonstrations with active discussion, problem solving, workplace application, and peer feedback. Videos, eBooks, Moodle, Padlet, and interactive classroom tools supply examples and reference points
 face-to-face and small-group activity lets learners interpret, rehearse, and adapt them. The mechanism amplifies socially situated experience, supporting practical skill and informal coordination rather than merely distributing content. Reported involvement and reduced cognitive overload indicate enabling conditions, but delayed retention remains untested. Persistence therefore depends on institutional sponsorship, protected schedules, manageable groups, inclusive participation, industry-aligned curriculum, and repeated application across projects
 passive consumption would amount only to codified access.</t>
  </si>
  <si>
    <t>TK05 Practised Motor and Tool-Operation Skill
TK11 Informal Coordination, Communication, and Escalation Know-how</t>
  </si>
  <si>
    <t>TE02
TE04
TE07
TE09 -&gt; TP12 -&gt; TK05
TK11</t>
  </si>
  <si>
    <t>s001M01TP01</t>
  </si>
  <si>
    <t>Focal technology-enabled tacit knowledge retention approach. Model-based Knowledge Representation and Simulation is classified as Digital Codification. Across the aggregated cases, BIM, 3D/4D models, computational scenarios, and virtual models translate spatial arrangements, construction sequences, hazards, and performance relationships into inspectable representations (node_id:s001M01TP01). The dominant retention function is therefore the preservation and reuse of a model, not repeated embodied rehearsal. Immersive presentation is a secondary delivery capability.
Evidence chain (directional and bounded). Human–Computer Interaction and Immersive Technologies, including Unity, CAVE, Navisworks, and SketchUp (node_id:s001M01TE02), together with Data, Information, and Knowledge Systems such as BIM, AutoCAD, Rhinoceros, Revit, and a centralized database (node_id:s001M01TE04), and the specifically evidenced EnergyPlus tool within the ambiguous technology class (node_id:s001M01TE09), are adopted by Model-based Knowledge Representation and Simulation (node_id:s001M01TP01). The only non-ambiguous retention edge is Technology-enabled Practice → captures → Trained Sensory and Perceptual Recognition (node_id:s001M01TK06): 4D BIM simulation made activity-based hazards identifiable at design stage. The linked tacit knowledge is difficult to retain where passive instruction fails to stimulate skill transfer (node_id:s001M01LI04) and where manual rules or sparse data omit complex safety cues (node_id:s001M01LI05). The secondary chain is Technology-enabled Practice → depends on → Culture, Trust and Relational Climate (node_id:s001M01OD06), evidenced by the need for a consciously maintained safety and continuous-improvement culture.
Retention mechanism. Digital Codification is justified because the practice externalizes expert hazard recognition into persistent geometry, schedules, risk records, and simulated sequences that can be inspected before work and revisited across projects. The graph distinguishes adoption from retention: the presence of modelling software establishes technical availability
 the capture edge to hazard-recognition knowledge establishes codification
 effective retention is strongest only where the centralized OHS database preserves and shares information for later projects.
Tacit knowledge retained. The retained capability is trained perceptual recognition: noticing activity-based hazards in spatial and temporal context (node_id:s001M01TK06). This know-how is hard to verbalize exhaustively and conventional instruction leaves a knowledge-to-practice gap. The model mitigates that gap by making otherwise latent relationships among design, sequence, and hazard visible, while the database component counters loss of OHS information as personnel change (node_id:s001M01LI10). BIM also reduced stakeholder document-approval time in one case, mitigating part of the workload constraint (node_id:s001M01LI08), but that efficiency is not itself evidence of knowledge retention.
Conditions and constraints. Implementation is constrained by capital and maintenance cost (node_id:s001M01LI07), limited BIM and OHS-model expertise (node_id:s001M01LI08), and the quality limits attached to formal rules and data (node_id:s001M01LI05). The dependence on safety and learning culture means that a technically available model may remain unused or fail to become organizational memory.
Cross-case synthesis and theoretical statement. The cases contribute different components rather than different practices: heritage and apartment models establish representation, BIM cases establish design communication and sequence simulation, and the OHS cases connect modelling to hazard recognition and future-project reuse. The strongest retention evidence comes from the OHS chain because it joins simulation to a named tacit capability and then to centralized continuity. The energy and presentation examples demonstrate adoption and representation but do not independently prove retention. Emerging modelling technologies therefore retain tacit know-how when organizations convert situated expert recognition into a governed, revisitable representation, preserve the related decisions and lessons, and embed the artefact in continuous-improvement routines
 adoption without capture, database continuity, and cultural use remains only technological deployment.</t>
  </si>
  <si>
    <t>Modeling technologies retain tacit hazard-recognition knowledge by translating experts’ spatial, sequencing, and performance judgments into BIM, 3D/4D models, simulations, and linked risk records. These representations make latent relationships visible before construction, allow teams to inspect activity-based hazards, and preserve decisions for later projects. Centralized OHS databases strengthen continuity by storing and sharing the modeled information beyond individual staff tenure. Retention depends on expert validation, adequate modeling competence, governed data, and a safety-oriented continuous-improvement culture. Software adoption alone is insufficient: the mechanism becomes retention only when captured cues remain revisitable, interpretable, and routinely reused in design reviews, training, and project learning.</t>
  </si>
  <si>
    <t>TK06 Trained Sensory and Perceptual Recognition</t>
  </si>
  <si>
    <t>TE02
TE04
TE09 -&gt; TP01 -&gt; TK06</t>
  </si>
  <si>
    <t>s001M01TP06</t>
  </si>
  <si>
    <t>Focal technology-enabled tacit knowledge retention approach. Worker Activity and State Capture through Wearable Sensors and Cameras is classified as Digital Codification. IMUs, wearable cameras, eye tracking, and video analysis intercept embodied work and convert posture, movement, gaze, external load, and task context into measurable records (node_id:s001M01TP06). The durable data representation is the dominant function
 feedback or rehearsal is not the primary mechanism.
Evidence chain (directional and bounded). Human–Computer Interaction and Immersive Technologies, specifically HoloLens eye and head gaze capture (node_id:s001M01TE02), and Imaging, Sensing, and Perception Technologies, including multiple IMUs and wearable cameras (node_id:s001M01TE05), are adopted by Worker Activity and State Capture (node_id:s001M01TP06). The practice captures Trained Sensory and Perceptual Recognition (node_id:s001M01TK06) by detecting abnormal or hazardous postures, and it captures and evaluates Embodied Posture, Balance, and Spatial Control (node_id:s001M01TK07) by combining sensor posture with video-observed hand weight to estimate lumbar load. The associated knowledge is hard to capture uniformly because individual bodies differ and motivation affects workplace transfer (node_id:s001M01LI03
 node_id:s001M01LI04).
Retention mechanism. Digital Codification operates as activity → sensor/video trace → calculated posture or workload representation → comparison and later assessment. This preserves aspects of embodied know-how that workers may not verbalize, including how they position themselves and handle loads. It remains a partial codification: the data represent observable posture and state, not the full situated reasons behind a worker's action. The graph supports capture and evaluation more strongly than transfer or long-term reuse.
Tacit knowledge retained. The focal content is perceptual hazard recognition and embodied posture control. Video and IMU measurements make otherwise fleeting bodily performance inspectable, enabling organizations to identify risky patterns and potentially design assistive technology. The practice mitigates a measurement weakness only conditionally: collecting more observations may improve workload estimates, but one study found no clear correlation between workload and assistive technologies and an unclear target population (node_id:s001M01LI13). Thus the graph does not demonstrate that recorded data became retained operational know-how.
Conditions and constraints. Regulatory evaluation frameworks such as OWAS, RULA, REBA, and HOHSRAM provide an external interpretation standard (node_id:s001M01ED01)
 access to actual job sites supplies the physical context needed to relate sensors to work (node_id:s001M01ED08)
 and individual–technology compatibility shapes implementation (node_id:s001M01OD08). Mixed learner characteristics, narrow samples, and uncertain construct validity constrain generalization (node_id:s001M01LI03
 node_id:s001M01LI13
 node_id:s001M01LI14).
Cross-case synthesis and theoretical statement. The workload and mixed-reality cases identify complementary forms of capture: body-worn devices record the worker, while eye and head tracking record attention inside an instructional environment. Both depend on interpretation standards and representative populations. A measured posture may indicate risk without explaining the practical trade-off that produced it, and gaze may indicate attention without establishing comprehension. Retention therefore requires expert annotation, comparison over time, and feedback into redesigned tasks or training. Longitudinal evidence showing safer later performance would be needed to close the chain from measurement to retained capability. Wearables support tacit-knowledge retention when ephemeral embodied action is converted into interpretable, governed records and then fed back into practice
 sensing alone records performance without proving organizational learning.</t>
  </si>
  <si>
    <t>Wearable sensors and cameras retain tacit knowledge by converting fleeting embodied activity into durable, interpretable records. IMUs, wearable video, eye tracking, and workload analysis capture posture, movement, gaze, load handling, and task context that workers may struggle to verbalize. Analysts can compare traces over time, identify hazardous patterns, and use the findings to redesign work, assistive technology, or training. The codification remains partial because measurements represent observable action, not every situated reason behind it. Retention therefore requires expert annotation, regulatory interpretation, representative samples, privacy safeguards, and feedback into practice
 sensing alone documents performance without demonstrating transfer or safer long-term behavior.</t>
  </si>
  <si>
    <t>TK06 Trained Sensory and Perceptual Recognition
TK07 Embodied Posture, Balance, and Spatial Control</t>
  </si>
  <si>
    <t>TE02
TE05 -&gt; TP06 -&gt; TK06
TK07</t>
  </si>
  <si>
    <t>s001M01TP07</t>
  </si>
  <si>
    <t>Focal technology-enabled tacit knowledge retention approach. Algorithmic Pattern Discovery and Prediction is classified as Digital Codification. AI, machine learning, NLP, statistical learning, and rules transform unstructured reports, gaze data, and operating measurements into features, classifications, forecasts, and detected patterns (node_id:s001M01TP07). The dominant function is the extraction and durable representation of latent regularities, not situated rehearsal.
Evidence chain (directional and bounded). Artificial Intelligence and Intelligent Computation—NLP, deep learning, CNNs, Word2Vec, GPT-4o extraction, ensemble classifiers, and predictive analytics—is the principal adopted technology (node_id:s001M01TE01), with Python grouped as a supporting ambiguous technology (node_id:s001M01TE09). The practice captures and transfers Trained Sensory and Perceptual Recognition (node_id:s001M01TK06) by extracting accident precursors and non-explicit semantic associations, and captures Shared Professional Norms and Standards of Judgment (node_id:s001M01TK10) by identifying the importance of risk factors, scenario-specific hazards, temporary support, soil stability, and material fatigue. These knowledge types are difficult to retain because manual rules omit complex texts, classification is subjective, and contextual judgment resists full automation (node_id:s001M01LI05
 node_id:s001M01LI08
 node_id:s001M01LI10).
Retention mechanism. Digital Codification proceeds from historical data → preprocessing and representation → learned pattern or prediction → retrievable classification and decision cue. Cross-case evidence supports automatic feature extraction from accident narratives, requirement extraction from bids, learner-pattern classification, and predictive monitoring. Algorithms reduce dependence on manually designed features and large-scale human classification, mitigating software/data barriers and workload (node_id:s001M01LI05
 node_id:s001M01LI08). They also surface information for archiving and immediate sharing. Yet discovery is not automatically retention: the graph provides limited evidence that predictions were repeatedly used, validated, or embedded in routines.
Tacit knowledge retained. The strongest retained content is latent safety recognition and professional risk judgment. Narrative phrases and CNN representations make antecedents that experts perceive implicitly available for comparison across reports. This can broaden organizational memory beyond individual recall. However, overlapping vocabulary produced misclassification, language specificity reduced portability, object-strike performance remained weak, and the theoretical framework had not become a practical tool. The data therefore support codification of candidate tacit patterns, not a complete replacement for expert interpretation.
Conditions and constraints. The practice depends on representative corpora and integrated infrastructure (node_id:s001M01OD03), leadership sponsorship and safety-management commitment (node_id:s001M01OD02), a knowledge-sharing and safety culture (node_id:s001M01OD06), and, for heating prediction, climatic context (node_id:s001M01ED04). Constraints include data imbalance, OCR and format limits, infrastructure gaps, underutilization under authoritarian leadership, privacy risks, operational variability, and limited validation (node_id:s001M01LI05
 node_id:s001M01LI06
 node_id:s001M01LI09
 node_id:s001M01LI10
 node_id:s001M01LI11
 node_id:s001M01LI13
 node_id:s001M01LI14).
Cross-case synthesis and theoretical statement. Accident classification offers the clearest codification chain because latent phrases are linked to named safety knowledge
 bid extraction, learner classification, project monitoring, and heating prediction show the broader analytical capability but not the same strength of retention evidence. The cases also expose a recurrent trade-off between scale and meaning: algorithms can process more traces than experts, yet their categories inherit corpus imbalance, language boundaries, labels, and infrastructure conditions. Algorithmic technologies retain tacit knowledge by converting dispersed experiential traces into reusable pattern representations, but those representations become actionable organizational memory only through expert validation, adequate data, leadership support, contestable classifications, and incorporation into real decisions.</t>
  </si>
  <si>
    <t>Algorithmic technologies retain tacit knowledge by transforming experience traces into reusable classifications, patterns, forecasts, and decision cues. AI, machine learning, and NLP preprocess accident narratives, gaze data, bid material, and operating measurements, then surface hidden precursors, semantic associations, and risk factors that manual rules may miss. These codified patterns can support search, monitoring, and professional judgment while reducing classification workload. However, discovery becomes organizational memory only when outputs are validated by experts, supported by representative data and infrastructure, and embedded in real decisions. Bias, privacy, context loss, weak leadership, or limited validation can otherwise preserve misleading patterns rather than knowledge.</t>
  </si>
  <si>
    <t>TK06 Trained Sensory and Perceptual Recognition
TK10 Shared Professional Norms and Standards of Judgment</t>
  </si>
  <si>
    <t>TE01
TE09 -&gt; TP07 -&gt; TK06
TK10</t>
  </si>
  <si>
    <t>s001M01TP08</t>
  </si>
  <si>
    <t>Focal technology-enabled tacit knowledge retention approach. Generative Knowledge Synthesis and Content Production is classified as Digital Codification. The practice combines requirements, embeddings, retrieved organizational examples, and generative models to produce new drafts and reports (node_id:s001M01TP08). Its dominant retention function is to reactivate preserved organizational material through a durable semantic representation and generated artefact
 conversational interaction is secondary.
Evidence chain (directional and bounded). Artificial Intelligence and Intelligent Computation—GPT-4o, embeddings, cosine similarity, few-shot prompting, NLP, and LangChain orchestration (node_id:s001M01TE01)—is combined with a Streamlit interface (node_id:s001M01TE02), Pinecone vector storage (node_id:s001M01TE04), and API access (node_id:s001M01TE09). These technologies are adopted by Generative Knowledge Synthesis (node_id:s001M01TP08), which transfers Organizational Culture and Unwritten Working Practices (node_id:s001M01TK12) through an AI system drawing on historical bids. This tacit knowledge is difficult to capture where incentives and trust are weak (node_id:s001M01LI09) and is vulnerable to staff turnover, fragmented records, and context loss (node_id:s001M01LI10).
Retention mechanism. Digital Codification operates through historical documents → chunking and embeddings → semantic retrieval → contextual prompting → generated methodology → expert review. Retrieval grounds the output in firm-specific history, allowing prior ways of working to be surfaced when a new request arrives. This is stronger than simple model availability because the graph documents an integrated proof of concept and transfer relation. Effective retention nevertheless remains conditional: the system generates only methodology text, and organizational judgment is not fully contained in the corpus or model.
Tacit knowledge retained. The focal content is historically developed organizational practice embodied in earlier bids—how the firm frames methods, responds to requirements, and structures persuasive technical content. Semantic retrieval and generation mitigate fragmented storage, inconsistent documentation, manual drafting effort, limited knowledge transfer, and turnover-related loss. They do not eliminate expert contextual judgment: each bid requires customization, nuanced risks make full automation impractical, and hallucination or confidentiality risk may weaken trust in the resulting memory.
Conditions and constraints. The practice depends on client and procurement rules (node_id:s001M01ED06), document standards and stewardship (node_id:s001M01OD01), leadership sponsorship (node_id:s001M01OD02), high-quality centralized data and information-system readiness (node_id:s001M01OD03), openness to digital transformation (node_id:s001M01OD06), and organizational maturity and workflow fit (node_id:s001M01OD08). PDF-only processing, absent OCR, small historical corpora, third-party APIs, fragmented data, limited training, and underuse constrain scaling (node_id:s001M01LI05
 node_id:s001M01LI08
 node_id:s001M01LI09
 node_id:s001M01LI10
 node_id:s001M01LI14).
Cross-case synthesis and theoretical statement. The bid system supplies the most direct mechanism evidence: retrieved examples shape a new methodology draft and human reviewers remain responsible for project-specific meaning. Net Zero Cloud broadens the category to automated reporting, but the graph does not connect that reporting to the same tacit-knowledge node
 it should therefore be treated as adoption evidence, not an additional retention practice. Retention quality should be assessed through provenance, reviewer correction, later reuse, and whether outputs improve decisions without flattening exceptions. Generative AI retains tacit organizational knowledge when it is coupled to a governed retrieval layer, standardized historical corpus, auditable provenance, and expert review. Without data readiness, trust, confidentiality controls, and contextual validation, generation recombines text but does not secure actionable memory.</t>
  </si>
  <si>
    <t>Generative technologies retain tacit organizational knowledge by reactivating prior work practices when new tasks arise. Historical bids are segmented, embedded, stored, and semantically retrieved
 relevant examples then ground prompts that generate a methodology draft for expert review. This chain converts fragmented experience into a reusable artifact while preserving links to firm-specific precedent. Retention quality depends on governed documents, adequate corpus breadth, provenance, reviewer correction, infrastructure, and workflow fit. The model cannot contain every contextual judgment, and generated text is not automatically valid knowledge. Its value lies in helping experts recover, adapt, and transmit unwritten practices despite turnover and documentation gaps.</t>
  </si>
  <si>
    <t>TK12 Organizational Culture and Unwritten Working Practices</t>
  </si>
  <si>
    <t>TE01
TE02
TE04
TE09 -&gt; TP08 -&gt; TK12</t>
  </si>
  <si>
    <t>s001M01TP09</t>
  </si>
  <si>
    <t>Focal technology-enabled tacit knowledge retention approach. Semantic Knowledge Structuring and Retrieval is classified as Digital Codification. Knowledge graphs, metadata, embeddings, vector databases, and meaning-based search organize relationships and create durable retrieval paths (node_id:s001M01TP09). The dominant function is representational persistence and recall rather than rehearsal.
Evidence chain (directional and bounded). Artificial Intelligence and Intelligent Computation, including text embeddings and cosine similarity (node_id:s001M01TE01), and Data, Information, and Knowledge Systems, specifically Pinecone vector storage (node_id:s001M01TE04), are adopted by Semantic Knowledge Structuring and Retrieval (node_id:s001M01TP09). The non-ambiguous retention chain is Technology-enabled Practice → transfers → Practised Motor and Tool-Operation Skill (node_id:s001M01TK05): an interactive knowledge graph digitizes the sequence of wooden construction, rammed-earth work, and associated intangible-cultural-heritage skills. The skill is difficult to retain because inheritance is interrupted (node_id:s001M01LI10), while fragmented formats restrict cross-platform reuse (node_id:s001M01LI05). No organizational or environmental dependency and no mitigation or resolve edge is returned for the focal practice.
Retention mechanism. Digital Codification converts a craft sequence or historical document into structured entities, semantic metadata, embeddings, and indexed relationships, then retrieves a contextually relevant representation. For craftsmanship, the knowledge graph makes process order available beyond the original practitioner
 for bids, vector search ranks similar proposals. Only the craftsmanship relation is explicitly tied to tacit knowledge, so bid retrieval should not be counted as a second retention practice.
Tacit knowledge retained. The retained content is practised motor and tool-operation skill represented through ordered craft processes. The representation can preserve sequence and access, but the graph does not show that users can reproduce the embodied quality of the skill from the digital structure alone. Accordingly, the evidence supports partial externalization and transfer, not complete substitution for demonstration, practice, or expert correction.
Conditions and constraints. More than 70 percent of referenced projects encounter data-format or interoperability problems, and the bid knowledge base contains only 13 documents from two firms. These limitations narrow retrieval coverage and portability.
Cross-case synthesis. The heritage graph and bid-retrieval cases demonstrate the same technical logic but different evidentiary strength. Both structure dispersed material and make it searchable by relation or meaning. Only the heritage case links that function to a named tacit skill, while the bid case establishes retrieval of similar documents without a corresponding tacit-knowledge edge in this focal subgraph. This distinction prevents corpus size, search quality, or semantic similarity from being mistaken for retention.
Theoretical implication. Semantic structure can preserve the order, provenance, and relationships surrounding practice, which are often lost in isolated files. It can also support boundary crossing by letting later users approach knowledge through task meaning rather than exact keywords. Yet retrieval remains representational: a returned craft sequence must still be interpreted, demonstrated, and embodied by a learner. Evaluation should therefore test whether users can find the right episode and perform competently in a changed context. Semantic technologies support tacit-knowledge retention by creating durable relational pathways to examples and procedures, but actionable retention depends on interoperable standards, adequate metadata, sufficient corpus breadth, expert curation, and complementary human enactment.</t>
  </si>
  <si>
    <t>Semantic technologies retain tacit knowledge by converting craft sequences into structured entities, metadata, embeddings, relationships, and meaning-based retrieval paths. In the heritage case, a knowledge graph preserves the order and relationships of wooden construction and rammed-earth practices so later users can approach skills beyond the original practitioner. Vector search similarly retrieves related bid examples, although that case lacks an explicit tacit-knowledge link. Codification is therefore partial: structured representations provide durable access but cannot replace demonstration, enactment, or expert correction. Effective retention requires interoperable formats, adequate metadata, sufficient corpus breadth, curation, and opportunities to translate retrieved representations back into competent action.</t>
  </si>
  <si>
    <t>TK05 Practised Motor and Tool-Operation Skill</t>
  </si>
  <si>
    <t>TE01
TE04 -&gt; TP09 -&gt; TK05</t>
  </si>
  <si>
    <t>s001M01TP10</t>
  </si>
  <si>
    <t>Focal technology-enabled tacit knowledge retention approach. Database-supported Project Knowledge Archiving is classified as Digital Codification. It preserves project narratives, lessons learned, safety information, and operational records in data warehouses, conventional KMS repositories, SQL databases, and applications (node_id:s001M01TP10). The dominant function is explicitly durable storage and retrieval.
Evidence chain (directional and bounded). PowerApps interfaces (node_id:s001M01TE02), data warehouses, databases, digital KMS, Excel, Azure, and SQL (node_id:s001M01TE04), audio/video recording (node_id:s001M01TE05), and rule-based macros (node_id:s001M01TE08) are adopted by the archive practice. It captures or transfers Knowledge Conveyed Through Examples, Unrecognized Personal Know-how, Practised Motor Skill, Shared Professional Judgment, Informal Coordination Know-how, and Organizational Culture and Unwritten Practices (node_id:s001M01TK02
 node_id:s001M01TK04
 node_id:s001M01TK05
 node_id:s001M01TK10
 node_id:s001M01TK11
 node_id:s001M01TK12). Stories preserve intuitive geotechnical responses, risk judgments, failure lessons, coordination norms, and organizational identity
 databases preserve craft sequences, OHS lessons, and prior-phase information.
Retention mechanism. Digital Codification proceeds from elicited story or project activity → recording and transcription → curation, tagging, and structured asset → database integration → retrieval, monitoring, and reuse. Multiple cases show a common mechanism despite different media: data warehousing stores lessons learned
 storytelling converts nuanced experience into reusable narrative artefacts
 centralized OHS databases carry prior-project risk information into later monitoring. The archive therefore externalizes aspects of intuition without claiming that every nuance becomes explicit.
Tacit knowledge retained. The practice targets knowledge that is intuitive, example-dependent, socially embedded, or hard to articulate. These forms are threatened by retirement, turnover, temporary teams, formal documents that omit context, knowledge hoarding, and weak trust (node_id:s001M01LI09
 node_id:s001M01LI10). Storytelling improves capture of contextual, emotional, and situational detail
 centralized storage reduces dependence on individual memory and makes information available to future projects. Privacy safeguards, restricted access, and anonymization are necessary because sensitive stories can otherwise make retention unethical or unusable.
Conditions and constraints. The practice depends on regulatory standards for OHS records (node_id:s001M01ED01), workforce demographic pressure (node_id:s001M01ED02), stewardship and review cycles (node_id:s001M01OD01), leadership and cultural reinforcement (node_id:s001M01OD02), technical and financial resources (node_id:s001M01OD03), protected time (node_id:s001M01OD04), psychological safety (node_id:s001M01OD06), and incentives (node_id:s001M01OD07). Cost and slow benefits (node_id:s001M01LI07), facilitation and curation workload (node_id:s001M01LI08), and cultural resistance (node_id:s001M01LI09) create weakest-link effects: failure at elicitation, trust, curation, governance, or retrieval can prevent a stored artefact from becoming organizational memory.
Cross-case synthesis. The archive combines two different input pathways: direct digital recording of processes and deliberate human elicitation through stories. Their convergence is theoretically important. Process records improve continuity and traceability, while narratives recover motives, emotions, contingencies, and interpersonal knowledge omitted by formal documents. A repository that receives only one pathway risks either context-poor data or unstructured stories that cannot be found.
Integrative theoretical statement. Emerging databases enable tacit-knowledge retention when human elicitation and governance convert situated experience into a findable, trusted, and repeatedly used asset. Technology redistributes expert work toward narration, validation, stewardship, and contextual interpretation
 it does not eliminate that work. The evidence supports continuity and reuse, but effective retention still depends on whether later users can translate codified narratives and records back into competent action and whether reuse metrics reveal that the archive is functioning as organizational memory.</t>
  </si>
  <si>
    <t>Database technologies retain tacit knowledge by moving experience through elicitation, recording, transcription, curation, tagging, integration, retrieval, and reuse. Data warehouses preserve lessons learned
 digital storytelling captures motives, emotions, examples, and interpersonal nuance
 OHS databases carry risk information across projects. Together, these systems counter turnover, retirement, temporary teams, fragmented records, and formal documents that omit context. Organizational memory still depends on psychological safety, incentives, privacy safeguards, stewardship, leadership, protected time, and search. Technology shifts expert work toward narration, validation, and interpretation: a stored asset contributes to retention only when later users trust it, retrieve it, and translate it into competent action.</t>
  </si>
  <si>
    <t>TK02 Knowledge Conveyed Through Examples or Demonstration
TK04 Unrecognized or Unarticulated Personal Know-how
TK05 Practised Motor and Tool-Operation Skill
TK10 Shared Professional Norms and Standards of Judgment
TK11 Informal Coordination, Communication, and Escalation Know-how
TK12 Organizational Culture and Unwritten Working Practices</t>
  </si>
  <si>
    <t>TE02
TE04
TE05
TE08 -&gt; TP10 -&gt; TK02
TK04
TK05
TK10
TK11
TK12</t>
  </si>
  <si>
    <t>s001M01TP13</t>
  </si>
  <si>
    <t>Focal technology-enabled tacit knowledge retention approach. Criteria-based Performance Evaluation and Ranking is classified as Digital Codification because questionnaires, tests, indicators, and benchmarked scores convert otherwise situated performance and judgment into comparable records (node_id:s001M01TP13). This is an assessment-centred codification, not a training or capture mechanism in itself.
Evidence chain (directional and bounded). Human–Computer Interaction technologies such as Google Forms, a web application, and Qualtrics (node_id:s001M01TE02), together with Microsoft Excel as a data system (node_id:s001M01TE04), are adopted by Criteria-based Evaluation (node_id:s001M01TP13). The practice evaluates Shared Professional Norms and Standards of Judgment (node_id:s001M01TK10): retained safety knowledge is connected to safe work practices, and VR practical assessment asks participants to identify, evaluate, and respond to excavation hazards. The query provides no direct capture or transfer edge, no tacit-knowledge limitation edge specific to this evaluated node, and no mitigation or resolve relationship.
Retention mechanism. Digital Codification is justified because the practice makes performance legible through pre/post/retention questionnaires, practical hazard assessments, model metrics, rankings, and OHS indicators. These records can diagnose change and support comparison. Yet evaluation is evidence about retention only when measurement timing and construct validity match the tacit capability. A questionnaire score cannot be assumed to represent embodied workplace action.
Tacit knowledge retained. The evaluated content is professional safety judgment—recognizing hazards, appraising severity, and selecting an appropriate response. The graph supports evaluation of this judgment but not the mechanism by which it was retained. The practice should therefore be treated as a verification layer around other learning practices, rather than as proof that the assessment technology preserved knowledge.
Conditions and constraints. OHS indicators depend on external regulatory standards (node_id:s001M01ED01). Learner preferences are heterogeneous and not fixed (node_id:s001M01LI03), while questioned learning-style validity and null physical-performance differences expose construct and validation problems (node_id:s001M01LI13).
Cross-case synthesis. The aggregate combines fuzzy multi-criteria comparison of training media, practical VR hazard assessment, repeated knowledge tests, workload questionnaires, classifier benchmarks, and OHS monitoring. These are measurement components, not separate retention practices. Together they show that evaluation can examine both declarative recall and situated response, but the measures are not interchangeable. Delayed tests assess persistence, practical scenarios assess enactment, and algorithmic metrics assess model performance rather than human knowledge.
Analytical boundary and theoretical statement. A valid retention claim requires temporal evidence and a measure close to the tacit capability of interest. Pre/post gains show acquisition
 a four-week score shows persistence
 safe action in a changed setting provides stronger transfer evidence. Regulatory benchmarks add legitimacy but may not capture local judgment. Scores also require interpretation by instructors, safety professionals, or managers
 otherwise the record remains detached from intervention. Digital evaluation can stabilize evidence of tacit performance as organizational data, reveal decay or mismatch, and direct refresher learning, but it contributes to retention only when valid measures are linked to repeated learning, corrective feedback, later competent action, and organizational decisions about how practice should change.</t>
  </si>
  <si>
    <t>Assessments assist retention by converting situated judgment and performance into comparable evidence. Forms, web applications, spreadsheets, tests, hazard scenarios, rankings, and OHS indicators record what learners identify, evaluate, remember, and enact. Repeated or delayed measures can reveal knowledge decay, diagnose mismatches, trigger refresher learning, and guide organizational decisions. Yet assessment is a verification layer, not the learning mechanism, and scores cannot represent embodied workplace competence. Its contribution depends on valid constructs, appropriate timing, regulatory alignment, corrective feedback, and later performance in changed settings. When these conditions hold, evaluation stabilizes evidence of professional judgment and helps organizations maintain it over time.</t>
  </si>
  <si>
    <t>TK10 Shared Professional Norms and Standards of Judgment</t>
  </si>
  <si>
    <t>TE02
TE04 -&gt; TP13 -&gt; TK10</t>
  </si>
  <si>
    <t>s002M01TP03</t>
  </si>
  <si>
    <t>Focal technology-enabled tacit knowledge retention approach. Situated Experiential Learning through Extended Reality (node_id:s002M01TP03) is the single focal practice. It is defined in the graph as Uses VR, AR, MR, CAVE, or hybrid XR environments to support embodied rehearsal, contextual guidance, historical interpretation, hazard recognition, and situated knowledge transfer. The node aggregates evidence across cases, so it represents a conceptual family rather than one event. The adopted technologies are Human–Computer Interaction and Immersive Technologies (node_id:s002M01TE02); Imaging, Sensing, and Perception Technologies (node_id:s002M01TE05).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 Situated Experiential Learning through Extended Reality (node_id:s002M01TP03) → Practised Motor and Tool-Operation Skill (node_id:s002M01TK05); Trained Sensory and Perceptual Recognition (node_id:s002M01TK06); Unrecognized or Unarticulated Personal Know-how (node_id:s002M01TK04); Embodied Posture, Balance, and Spatial Control (node_id:s002M01TK07). Retrieved constraints are Individual Ergonomic, Usability and Immediate Safety Risks (node_id:s002M01LI02); Instructional Design, Delivery, Assessment and Transfer Shortcomings (node_id:s002M01LI04); Software, Algorithmic, Data Quality and Interoperability Barriers (node_id:s002M01LI05); Hardware, Sensor and Technical Infrastructure Constraints (node_id:s002M01LI06); plus 3 additional retrieved nodes; conditions are Political, Regulatory &amp; Jurisdictional Environment (node_id:s002M01ED01); Geographic &amp; Physical Site Context (node_id:s002M01ED08); Governance, Standards &amp; Formal Control (node_id:s002M01OD01); Financial, Technical &amp; Information Resources (node_id:s002M01OD03); plus 2 additional retrieved nodes. Across assembly-training cases, MAR and AR overlays paired instructions with virtual components, Magic Leap prototypes used CAD-derived guidance, and VMAR supported trainer intervention. These relations connect immersive and sensing technologies to embodied and perceptual skills.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Trained Sensory and Perceptual Recognition (node_id:s002M01TK06); Unrecognized or Unarticulated Personal Know-how (node_id:s002M01TK04); Embodied Posture, Balance, and Spatial Control (node_id:s002M01TK07). Its tacitness lies in skilled judgment, perception, coordination, or bodily performance that is difficult to detach from context and articulate completely. The focal practice mitigates Individual Knowledge and Memory Decay (node_id:s002M01LI01); Human Physiological, Cognitive-Capacity and Demographic Constraints (node_id:s002M01LI03); Instructional Design, Delivery, Assessment and Transfer Shortcomings (node_id:s002M01LI04); Hardware, Sensor and Technical Infrastructure Constraints (node_id:s002M01LI06);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Geographic &amp; Physical Site Context (node_id:s002M01ED08); Governance, Standards &amp; Formal Control (node_id:s002M01OD01); Financial, Technical &amp; Information Resources (node_id:s002M01OD03); plus 2 additional retrieved nodes. These dependencies are neutral enabling conditions: leadership, capable participants, resources, process integration, regulation, markets, or site context can enable deployment but can also become bottlenecks. It is constrained by Individual Ergonomic, Usability and Immediate Safety Risks (node_id:s002M01LI02); Instructional Design, Delivery, Assessment and Transfer Shortcomings (node_id:s002M01LI04); Software, Algorithmic, Data Quality and Interoperability Barriers (node_id:s002M01LI05); Hardware, Sensor and Technical Infrastructure Constraints (node_id:s002M01LI06); plus 3 additional retrieved nodes. These links create a weakest-link effect: technical operation does not ensure retention, and experts remain responsible for validation and contextual judgment.
Integrative theoretical statement. Situated Experiential Learning through Extended Reality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</si>
  <si>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Extended-reality technologies retain tacit knowledge by placing learners inside consequential work situations. AR, mixed reality, imaging, and sensing overlay expert instructions, components, and cues onto physical tasks, allowing users to observe, act, receive feedback, and repeat procedures. Assembly and machinery cases show improved positioning, procedural performance, perceptual recognition, and autonomous execution. The dominant mechanism is Experience Amplification because knowledge is stabilized through embodied rehearsal rather than preserved mainly as an external record. Retention nevertheless depends on instructional quality, usable interfaces, trainer intervention, realistic context, repeated practice, and delayed assessment; technical adoption alone does not demonstrate durable transfer to workplace performance.</t>
  </si>
  <si>
    <t>TK04 Unrecognized or Unarticulated Personal Know-how
TK05 Practised Motor and Tool-Operation Skill
TK06 Trained Sensory and Perceptual Recognition
TK07 Embodied Posture, Balance, and Spatial Control</t>
  </si>
  <si>
    <t>TE02;TE05 -&gt; TP03 -&gt; TK04;TK05;TK06;TK07</t>
  </si>
  <si>
    <t>s002M01TP04</t>
  </si>
  <si>
    <t>Focal technology-enabled tacit knowledge retention approach. Interactive Consequence Learning and Digital Feedback (node_id:s002M01TP04) is the single focal practice. It is defined in the graph as Uses responsive simulations, animations, indicators, interfaces, or multisensory feedback to make relationships between actions, system states, and consequences experientially perceptible. The node aggregates evidence across cases, so it represents a conceptual family rather than one event. The adopted technologies are Human–Computer Interaction and Immersive Technologies (node_id:s002M01TE02); Imaging, Sensing, and Perception Technologies (node_id:s002M01TE05); Mobile, Social and Communication Technologies (node_id:s002M01TE07).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Mobile, Social and Communication Technologies (node_id:s002M01TE07) → Interactive Consequence Learning and Digital Feedback (node_id:s002M01TP04) → Practised Motor and Tool-Operation Skill (node_id:s002M01TK05). Retrieved constraints are Instructional Design, Delivery, Assessment and Transfer Shortcomings (node_id:s002M01LI04); Software, Algorithmic, Data Quality and Interoperability Barriers (node_id:s002M01LI05); Hardware, Sensor and Technical Infrastructure Constraints (node_id:s002M01LI06); Time, Staffing, Expertise, Scheduling and Workload Constraints (node_id:s002M01LI08); conditions are Geographic &amp; Physical Site Context (node_id:s002M01ED08); Financial, Technical &amp; Information Resources (node_id:s002M01OD03). Across interactive-training cases, responsive visualization, feedback, and mobile interfaces made action–consequence relationships perceptible and supported practised skill.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Its tacitness lies in skilled judgment, perception, coordination, or bodily performance that is difficult to detach from context and articulate completely. The focal practice mitigates Instructional Design, Delivery, Assessment and Transfer Shortcomings (node_id:s002M01LI04).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Geographic &amp; Physical Site Context (node_id:s002M01ED08); Financial, Technical &amp; Information Resources (node_id:s002M01OD03).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Software, Algorithmic, Data Quality and Interoperability Barriers (node_id:s002M01LI05); Hardware, Sensor and Technical Infrastructure Constraints (node_id:s002M01LI06); Time, Staffing, Expertise, Scheduling and Workload Constraints (node_id:s002M01LI08). These links create a weakest-link effect: technical operation does not ensure retention, and experts remain responsible for validation and contextual judgment.
Integrative theoretical statement. Interactive Consequence Learning and Digital Feedback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</si>
  <si>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Interactive feedback technologies retain tacit knowledge by making the consequences of action immediately perceptible. Immersive interfaces, sensing tools, and mobile systems present animations, indicators, error messages, or multisensory responses while learners perform tasks. This closes the loop between choice, system state, and outcome, helping users adjust tool operation and consolidate procedural patterns through repetition. The dominant mechanism is Experience Amplification because the learning value resides in action and feedback, not in an archived representation. Retention depends on accurate feedback, suitable task difficulty, technical reliability, sufficient practice time, and transfer beyond the interface; engagement or improvement alone cannot establish lasting competence.</t>
  </si>
  <si>
    <t>TE02;TE05;TE07 -&gt; TP04 -&gt; TK05</t>
  </si>
  <si>
    <t>s002M01TP11</t>
  </si>
  <si>
    <t>Focal technology-enabled tacit knowledge retention approach. Collaborative Knowledge Co-creation through Digital Platforms (node_id:s002M01TP11) is the single focal practice. It is defined in the graph as Uses portals, messaging systems, shared virtual environments, and online collaboration platforms to support peer exchange, collective interpretation, user contribution, and shared knowledge construction. The node aggregates evidence across cases, so it represents a conceptual family rather than one event. The adopted technologies are Artificial Intelligence and Intelligent Computation (node_id:s002M01TE01); Human–Computer Interaction and Immersive Technologies (node_id:s002M01TE02); Cyber-Physical Systems, IoT, and Smart Environments (node_id:s002M01TE03); Data, Information, and Knowledge Systems (node_id:s002M01TE04); plus 1 additional retrieved nodes.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Cyber-Physical Systems, IoT, and Smart Environments (node_id:s002M01TE03); Data, Information, and Knowledge Systems (node_id:s002M01TE04); plus 1 additional retrieved nodes → Collaborative Knowledge Co-creation through Digital Platforms (node_id:s002M01TP11) → Unrecognized or Unarticulated Personal Know-how (node_id:s002M01TK04); Shared Professional Language and Contextual Meaning (node_id:s002M01TK09); Organizational Culture and Unwritten Working Practices (node_id:s002M01TK12). Retrieved constraints are Software, Algorithmic, Data Quality and Interoperability Barriers (node_id:s002M01LI05); Knowledge Continuity, Documentation, Governance, Privacy and Security (node_id:s002M01LI10); conditions are Political, Regulatory &amp; Jurisdictional Environment (node_id:s002M01ED01); Sociocultural &amp; Societal Environment (node_id:s002M01ED03); Governance, Standards &amp; Formal Control (node_id:s002M01OD01); Strategic Leadership &amp; Sponsorship (node_id:s002M01OD02); plus 4 additional retrieved nodes. Across cases, AI, immersive, IoT, data, and mobile platforms supported contribution and collective interpretation, connecting peer exchange to unarticulated know-how, shared language, and unwritten practices.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Unrecognized or Unarticulated Personal Know-how (node_id:s002M01TK04); Shared Professional Language and Contextual Meaning (node_id:s002M01TK09); Organizational Culture and Unwritten Working Practices (node_id:s002M01TK12). Its tacitness lies in skilled judgment, perception, coordination, or bodily performance that is difficult to detach from context and articulate completely. The focal practice mitigates Software, Algorithmic, Data Quality and Interoperability Barriers (node_id:s002M01LI05); Time, Staffing, Expertise, Scheduling and Workload Constraints (node_id:s002M01LI08);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Sociocultural &amp; Societal Environment (node_id:s002M01ED03); Governance, Standards &amp; Formal Control (node_id:s002M01OD01); Strategic Leadership &amp; Sponsorship (node_id:s002M01OD02); plus 4 additional retrieved nodes.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Knowledge Continuity, Documentation, Governance, Privacy and Security (node_id:s002M01LI10). These links create a weakest-link effect: technical operation does not ensure retention, and experts remain responsible for validation and contextual judgment.
Integrative theoretical statement. Collaborative Knowledge Co-creation through Digital Platforms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</si>
  <si>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Collaborative digital platforms retain tacit knowledge by enabling participants to contribute experience, interpret problems, negotiate meaning, and develop shared practices. Artificial intelligence, immersive interfaces, connected systems, and knowledge platforms create spaces where unarticulated know-how, professional language, and unwritten organizational norms become encounterable through interaction. The dominant mechanism is Experience Amplification because retention occurs principally through dialogue, participation, and collective sensemaking; stored messages or records play a supporting role. Effective retention depends on trust, psychological safety, inclusive participation, familiarity, governance, and workflow integration. Without sustained contribution and application, technical connectivity produces information exchange but not durable shared understanding or organizational capability.</t>
  </si>
  <si>
    <t>TK04 Unrecognized or Unarticulated Personal Know-how
TK09 Shared Professional Language and Contextual Meaning
TK12 Organizational Culture and Unwritten Working Practices</t>
  </si>
  <si>
    <t>TE01;TE02;TE03;TE04 -&gt; TP11 -&gt; TK04;TK09;TK12</t>
  </si>
  <si>
    <t>s002M01TP12</t>
  </si>
  <si>
    <t>Focal technology-enabled tacit knowledge retention approach. Multimedia and Blended Knowledge Internalization (node_id:s002M01TP12) is the single focal practice. It is defined in the graph as Combines digital content, interactive media, online resources, and face-to-face or workplace activities to strengthen demonstration, participation, and knowledge internalization. The node aggregates evidence across cases, so it represents a conceptual family rather than one event. The adopted technologies are Cyber-Physical Systems, IoT, and Smart Environments (node_id:s002M01TE03). Adoption establishes technical availability and use, but it does not by itself establish retention.
Evidence chain (directional and bounded). The supported main chain is Cyber-Physical Systems, IoT, and Smart Environments (node_id:s002M01TE03) → Multimedia and Blended Knowledge Internalization (node_id:s002M01TP12) → Practised Motor and Tool-Operation Skill (node_id:s002M01TK05); Shared Professional Norms and Standards of Judgment (node_id:s002M01TK10). Retrieved constraints are Human Physiological, Cognitive-Capacity and Demographic Constraints (node_id:s002M01LI03); Instructional Design, Delivery, Assessment and Transfer Shortcomings (node_id:s002M01LI04); Knowledge Continuity, Documentation, Governance, Privacy and Security (node_id:s002M01LI10); conditions are Political, Regulatory &amp; Jurisdictional Environment (node_id:s002M01ED01); External Technological &amp; Infrastructure Environment (node_id:s002M01ED05); Geographic &amp; Physical Site Context (node_id:s002M01ED08); Strategic Leadership &amp; Sponsorship (node_id:s002M01OD02); plus 4 additional retrieved nodes. The strongest direct evidence comes from the learning-factory workshop: IoT, collaborative robotics, and additive manufacturing were used in hands-on activities associated with skill acquisition and improved decision-making.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practice’s dominant function is to organize digital demonstrations, hands-on activity, discussion, and feedback so participants internalize situated skill and judgment, rather than preserve a representation independently of the knower. IoT, collaborative-robotics, and additive-manufacturing activities supply consequential tasks; learning factories, workshops, and blended media let learners encounter, practise, and interpret them. Digital content is therefore a supporting scaffold. Retention is established only when participants can perform and decide beyond the immediate session, so reported knowledge acquisition and decision improvement are promising but do not by themselves demonstrate long-term transfer.
Tacit Knowledge Retained. The non-ambiguous candidate knowledge is Practised Motor and Tool-Operation Skill (node_id:s002M01TK05); Shared Professional Norms and Standards of Judgment (node_id:s002M01TK10). Its tacitness lies in skilled judgment, perception, coordination, or bodily performance that is difficult to detach from context and articulate completely. The focal practice mitigates Instructional Design, Delivery, Assessment and Transfer Shortcomings (node_id:s002M01LI04); Time, Staffing, Expertise, Scheduling and Workload Constraints (node_id:s002M01LI08).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External Technological &amp; Infrastructure Environment (node_id:s002M01ED05); Geographic &amp; Physical Site Context (node_id:s002M01ED08); Strategic Leadership &amp; Sponsorship (node_id:s002M01OD02); plus 4 additional retrieved nodes. These dependencies are neutral enabling conditions: leadership, capable participants, resources, process integration, regulation, markets, or site context can enable deployment but can also become bottlenecks. It is constrained by Human Physiological, Cognitive-Capacity and Demographic Constraints (node_id:s002M01LI03); Instructional Design, Delivery, Assessment and Transfer Shortcomings (node_id:s002M01LI04); Knowledge Continuity, Documentation, Governance, Privacy and Security (node_id:s002M01LI10). These links create a weakest-link effect: technical operation does not ensure retention, and experts remain responsible for validation and contextual judgment.
Integrative theoretical statement. Multimedia and Blended Knowledge Internalization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</si>
  <si>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Blended technologies retain tacit knowledge by combining digital demonstrations with hands-on activity, discussion, reflection, and peer feedback. IoT and collaborative-robotics exercises, learning platforms, workshops, and media expose participants to manufacturing problems and allow them to practise solutions. The dominant mechanism is Experience Amplification because practical skill and professional judgment are stabilized through learning-by-doing rather than stored primarily as digital records. Reported knowledge acquisition and improved decision-making indicate enabling outcomes, but they do not establish long-term persistence. Effective retention depends on suitable facilities, accessible infrastructure, participant capability, tailored curriculum, sufficient hands-on time, organizational support, and assessment of competent performance after training.</t>
  </si>
  <si>
    <t>TK05 Practised Motor and Tool-Operation Skill
TK10 Shared Professional Norms and Standards of Judgment</t>
  </si>
  <si>
    <t>TE03 -&gt; TP12 -&gt; TK05;TK10</t>
  </si>
  <si>
    <t>s002M01TP16</t>
  </si>
  <si>
    <t>Focal technology-enabled tacit knowledge retention approach. Gamified Procedural and Scenario-based Learning (node_id:s002M01TP16) is the single focal practice. It is defined in the graph as Uses structured games, quizzes, cards, role-playing scenarios, and realistic problem cases to help learners reconstruct procedural sequences, apply operational criteria, recognize errors, and select appropriate responses. The node aggregates evidence across cases, so it represents a conceptual family rather than one event. The adopted technologies are Human–Computer Interaction and Immersive Technologies (node_id:s002M01TE02); Imaging, Sensing, and Perception Technologies (node_id:s002M01TE05); Mobile, Social and Communication Technologies (node_id:s002M01TE07).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Mobile, Social and Communication Technologies (node_id:s002M01TE07) → Gamified Procedural and Scenario-based Learning (node_id:s002M01TP16) → Practised Motor and Tool-Operation Skill (node_id:s002M01TK05); Trained Sensory and Perceptual Recognition (node_id:s002M01TK06). Retrieved constraints are none directly retrieved; conditions are none directly retrieved. Across cases, immersive, sensing, and mobile tools supported games and scenarios that transferred motor skill and perceptual recognition, while outcome evidence remains bounded to the retrieved relations.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Trained Sensory and Perceptual Recognition (node_id:s002M01TK06). Its tacitness lies in skilled judgment, perception, coordination, or bodily performance that is difficult to detach from context and articulate completely. The focal practice mitigates Instructional Design, Delivery, Assessment and Transfer Shortcomings (node_id:s002M01LI04); Hardware, Sensor and Technical Infrastructure Constraints (node_id:s002M01LI06); Financial and Capital Constraints (node_id:s002M01LI07).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none directly retrieved. These dependencies are neutral enabling conditions: leadership, capable participants, resources, process integration, regulation, markets, or site context can enable deployment but can also become bottlenecks. It is constrained by none directly retrieved. These links create a weakest-link effect: technical operation does not ensure retention, and experts remain responsible for validation and contextual judgment.
Integrative theoretical statement. Gamified Procedural and Scenario-based Learning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</si>
  <si>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Gamified and scenario-based technologies retain tacit knowledge by placing learners in problems that require procedural choices, error recognition, and response selection. Immersive interfaces, sensing tools, and mobile technologies support games, quizzes, simulations, and cases through which users practise motor operations and perceptual discrimination. The dominant mechanism is Experience Amplification because knowledge is stabilized through active participation, feedback, and scenario performance rather than primarily through external records. These formats can improve engagement and make practice more accessible, but retention requires credible scenarios, clear feedback, progressive difficulty, repeated use, and transfer assessment. Immediate game performance alone does not prove durable workplace competence.</t>
  </si>
  <si>
    <t>TK05 Practised Motor and Tool-Operation Skill
TK06 Trained Sensory and Perceptual Recognition</t>
  </si>
  <si>
    <t>TE02;TE05;TE07 -&gt; TP16 -&gt; TK05;TK06</t>
  </si>
  <si>
    <t>s002M01TP06</t>
  </si>
  <si>
    <t>Focal technology-enabled tacit knowledge retention approach. Worker Activity and State Capture through Wearable Sensors and Cameras (node_id:s002M01TP06) is the single focal practice. It is defined in the graph as Uses IMUs, wearable sensors, eye trackers, cameras, and video analysis to record workers’ movement, posture, gaze, workload, task sequences, and situated work activities. The node aggregates evidence across cases, so it represents a conceptual family rather than one event. The adopted technologies are Artificial Intelligence and Intelligent Computation (node_id:s002M01TE01); Human–Computer Interaction and Immersive Technologies (node_id:s002M01TE02); Imaging, Sensing, and Perception Technologies (node_id:s002M01TE05).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Imaging, Sensing, and Perception Technologies (node_id:s002M01TE05) → Worker Activity and State Capture through Wearable Sensors and Cameras (node_id:s002M01TP06) → Unrecognized or Unarticulated Personal Know-how (node_id:s002M01TK04); Practised Motor and Tool-Operation Skill (node_id:s002M01TK05); Trained Sensory and Perceptual Recognition (node_id:s002M01TK06); Embodied Posture, Balance, and Spatial Control (node_id:s002M01TK07). Retrieved constraints are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conditions are Political, Regulatory &amp; Jurisdictional Environment (node_id:s002M01ED01); Governance, Standards &amp; Formal Control (node_id:s002M01OD01). Across activity-capture cases, AI, wearables, cameras, gaze sensing, and body-sound traces converted movement and posture into analyzable records linked to tacit motor, perceptual, and spatial skills.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Unrecognized or Unarticulated Personal Know-how (node_id:s002M01TK04); Practised Motor and Tool-Operation Skill (node_id:s002M01TK05); Trained Sensory and Perceptual Recognition (node_id:s002M01TK06); Embodied Posture, Balance, and Spatial Control (node_id:s002M01TK07). Its tacitness lies in skilled judgment, perception, coordination, or bodily performance that is difficult to detach from context and articulate completely. The focal practice mitigates Knowledge Continuity, Documentation, Governance, Privacy and Security (node_id:s002M01LI10); Physical-Environmental and Operational Variability (node_id:s002M01LI11).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Governance, Standards &amp; Formal Control (node_id:s002M01OD01).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These links create a weakest-link effect: technical operation does not ensure retention, and experts remain responsible for validation and contextual judgment.
Integrative theoretical statement. Worker Activity and State Capture through Wearable Sensors and Cameras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</si>
  <si>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Wearable, imaging, and intelligent technologies retain tacit knowledge by converting bodily activity into durable records. Sensors, cameras, eye trackers, and AI analysis capture movement, posture, gaze, workload, hand action, and task sequence, making previously unarticulated performance available for comparison and review. The dominant mechanism is Digital Codification because the practice externalizes embodied traces as measurable data rather than primarily creating a rehearsal environment. These records can support coaching, risk detection, and later reuse, but they represent observable behavior incompletely. Effective retention requires reliable sensing, contextual annotation, privacy governance, expert interpretation, representative observations, and feedback into changed work or training practices.</t>
  </si>
  <si>
    <t>TE01;TE02;TE05 -&gt; TP06 -&gt; TK04;TK05;TK06;TK07</t>
  </si>
  <si>
    <t>s002M01TP07</t>
  </si>
  <si>
    <t>Focal technology-enabled tacit knowledge retention approach. Algorithmic Pattern Discovery and Prediction (node_id:s002M01TP07) is the single focal practice. It is defined in the graph as Uses AI, machine learning, NLP, statistical learning, or rule-based algorithms to derive classifications, forecasts, detected patterns, and predicted conditions from data. The node aggregates evidence across cases, so it represents a conceptual family rather than one event. The adopted technologies are Artificial Intelligence and Intelligent Computation (node_id:s002M01TE01); Data, Information, and Knowledge Systems (node_id:s002M01TE04); Imaging, Sensing, and Perception Technologies (node_id:s002M01TE05); Rule-Based, Decision and Expert Systems (node_id:s002M01TE08). Adoption establishes technical availability and use, but it does not by itself establish retention.
Evidence chain (directional and bounded). The supported main chain is Artificial Intelligence and Intelligent Computation (node_id:s002M01TE01); Data, Information, and Knowledge Systems (node_id:s002M01TE04); Imaging, Sensing, and Perception Technologies (node_id:s002M01TE05); Rule-Based, Decision and Expert Systems (node_id:s002M01TE08) → Algorithmic Pattern Discovery and Prediction (node_id:s002M01TP07) → Knowledge Conveyed Through Examples or Demonstration (node_id:s002M01TK02); Unrecognized or Unarticulated Personal Know-how (node_id:s002M01TK04); Practised Motor and Tool-Operation Skill (node_id:s002M01TK05); Trained Sensory and Perceptual Recognition (node_id:s002M01TK06). Retrieved constraints are Software, Algorithmic, Data Quality and Interoperability Barriers (node_id:s002M01LI05); Hardware, Sensor and Technical Infrastructure Constraints (node_id:s002M01LI06); Time, Staffing, Expertise, Scheduling and Workload Constraints (node_id:s002M01LI08); Knowledge Continuity, Documentation, Governance, Privacy and Security (node_id:s002M01LI10); plus 3 additional retrieved nodes; conditions are Natural &amp; Climatic Environment (node_id:s002M01ED04); Geographic &amp; Physical Site Context (node_id:s002M01ED08); Governance, Standards &amp; Formal Control (node_id:s002M01OD01); Strategic Leadership &amp; Sponsorship (node_id:s002M01OD02); plus 5 additional retrieved nodes. Across cases, AI, data systems, imaging, and rules derived patterns from operational and learning traces, connecting classifications and evaluations to example-based, unarticulated, motor, and perceptual knowledge.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Knowledge Conveyed Through Examples or Demonstration (node_id:s002M01TK02); Unrecognized or Unarticulated Personal Know-how (node_id:s002M01TK04); Practised Motor and Tool-Operation Skill (node_id:s002M01TK05); Trained Sensory and Perceptual Recognition (node_id:s002M01TK06). Its tacitness lies in skilled judgment, perception, coordination, or bodily performance that is difficult to detach from context and articulate completely. The focal practice mitigates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plus 2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Natural &amp; Climatic Environment (node_id:s002M01ED04); Geographic &amp; Physical Site Context (node_id:s002M01ED08); Governance, Standards &amp; Formal Control (node_id:s002M01OD01); Strategic Leadership &amp; Sponsorship (node_id:s002M01OD02); plus 5 additional retrieved nodes.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Hardware, Sensor and Technical Infrastructure Constraints (node_id:s002M01LI06); Time, Staffing, Expertise, Scheduling and Workload Constraints (node_id:s002M01LI08); Knowledge Continuity, Documentation, Governance, Privacy and Security (node_id:s002M01LI10); plus 3 additional retrieved nodes. These links create a weakest-link effect: technical operation does not ensure retention, and experts remain responsible for validation and contextual judgment.
Integrative theoretical statement. Algorithmic Pattern Discovery and Prediction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</si>
  <si>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Algorithmic technologies retain tacit knowledge by discovering reusable patterns within behavioral and learning data. Artificial intelligence, knowledge systems, imaging, and rule-based tools transform examples, unarticulated routines, motor traces, and perceptual signals into classifications, predictions, and evaluation cues. The dominant mechanism is Digital Codification because experiential traces become explicit analytical representations that can be searched, compared, and reused beyond the original performer. Algorithms may reduce manual interpretation and reveal regularities, but pattern discovery is not automatically organizational memory. Retention depends on representative data, interoperable infrastructure, expert validation, transparent classifications, privacy safeguards, and incorporation of outputs into decisions, instruction, and corrective action.</t>
  </si>
  <si>
    <t>TK02 Knowledge Conveyed Through Examples or Demonstration
TK04 Unrecognized or Unarticulated Personal Know-how
TK05 Practised Motor and Tool-Operation Skill
TK06 Trained Sensory and Perceptual Recognition</t>
  </si>
  <si>
    <t>TE01;TE04;TE05;TE08 -&gt; TP07 -&gt; TK02;TK04;TK05;TK06</t>
  </si>
  <si>
    <t>s002M01TP08</t>
  </si>
  <si>
    <t>Focal technology-enabled tacit knowledge retention approach. Generative Knowledge Synthesis and Content Production (node_id:s002M01TP08) is the single focal practice. It is defined in the graph as Uses generative AI to combine requirements, contextual data, and retrieved knowledge into new drafts, reports, explanations, summaries, or recommendations. The node aggregates evidence across cases, so it represents a conceptual family rather than one event. The adopted technologies are Artificial Intelligence and Intelligent Computation (node_id:s002M01TE01); Human–Computer Interaction and Immersive Technologies (node_id:s002M01TE02).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 Generative Knowledge Synthesis and Content Production (node_id:s002M01TP08) → Trained Sensory and Perceptual Recognition (node_id:s002M01TK06); Embodied Posture, Balance, and Spatial Control (node_id:s002M01TK07); Organizational Culture and Unwritten Working Practices (node_id:s002M01TK12). Retrieved constraints are Instructional Design, Delivery, Assessment and Transfer Shortcomings (node_id:s002M01LI04); Software, Algorithmic, Data Quality and Interoperability Barriers (node_id:s002M01LI05); Research Design, Measurement and Validation Flaws (node_id:s002M01LI13); conditions are Political, Regulatory &amp; Jurisdictional Environment (node_id:s002M01ED01); Strategic Leadership &amp; Sponsorship (node_id:s002M01OD02); Financial, Technical &amp; Information Resources (node_id:s002M01OD03); Human Capacity, Roles &amp; Participation (node_id:s002M01OD05); plus 1 additional retrieved nodes. Across cases, generative AI and interfaces produced context-sensitive content from retrieved material, with capture and evaluation links to perceptual, spatial, and organizational know-how; the evidence does not show complete substitution for expert judgment.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Trained Sensory and Perceptual Recognition (node_id:s002M01TK06); Embodied Posture, Balance, and Spatial Control (node_id:s002M01TK07); Organizational Culture and Unwritten Working Practices (node_id:s002M01TK12). Its tacitness lies in skilled judgment, perception, coordination, or bodily performance that is difficult to detach from context and articulate completely. The focal practice mitigates Instructional Design, Delivery, Assessment and Transfer Shortcomings (node_id:s002M01LI04); Software, Algorithmic, Data Quality and Interoperability Barriers (node_id:s002M01LI05); Time, Staffing, Expertise, Scheduling and Workload Constraints (node_id:s002M01LI08); Knowledge Continuity, Documentation, Governance, Privacy and Security (node_id:s002M01LI10);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Strategic Leadership &amp; Sponsorship (node_id:s002M01OD02); Financial, Technical &amp; Information Resources (node_id:s002M01OD03); Human Capacity, Roles &amp; Participation (node_id:s002M01OD05); plus 1 additional retrieved nodes.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Software, Algorithmic, Data Quality and Interoperability Barriers (node_id:s002M01LI05); Research Design, Measurement and Validation Flaws (node_id:s002M01LI13). These links create a weakest-link effect: technical operation does not ensure retention, and experts remain responsible for validation and contextual judgment.
Integrative theoretical statement. Generative Knowledge Synthesis and Content Production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</si>
  <si>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Generative and interactive technologies retain tacit knowledge by transforming inputs and retrieved experience into explanations, recommendations, or content. Artificial intelligence and human–computer interfaces synthesize perceptual cues, spatial judgments, and unwritten organizational practices, allowing knowledge to be reactivated for new situations. The dominant mechanism is Digital Codification because the system produces persistent, reviewable representations rather than principally teaching through embodied rehearsal. Generated material can widen access and support reflection, but it does not contain every exception or situated reason. Effective retention therefore requires grounded source material, provenance, expert review, user participation, governance, and application; plausible output alone is not verified knowledge.</t>
  </si>
  <si>
    <t>TK06 Trained Sensory and Perceptual Recognition
TK07 Embodied Posture, Balance, and Spatial Control
TK12 Organizational Culture and Unwritten Working Practices</t>
  </si>
  <si>
    <t>TE01;TE02 -&gt; TP08 -&gt; TK06;TK07;TK12</t>
  </si>
  <si>
    <t>s002M01TP09</t>
  </si>
  <si>
    <t>Focal technology-enabled tacit knowledge retention approach. Semantic Knowledge Structuring and Retrieval (node_id:s002M01TP09) is the single focal practice. It is defined in the graph as Uses knowledge graphs, semantic metadata, embeddings, vector databases, and meaning-based search to represent knowledge relationships and retrieve contextually relevant information. The node aggregates evidence across cases, so it represents a conceptual family rather than one event. The adopted technologies are Data, Information, and Knowledge Systems (node_id:s002M01TE04); Rule-Based, Decision and Expert Systems (node_id:s002M01TE08). Adoption establishes technical availability and use, but it does not by itself establish retention.
Evidence chain (directional and bounded). The supported main chain is Data, Information, and Knowledge Systems (node_id:s002M01TE04); Rule-Based, Decision and Expert Systems (node_id:s002M01TE08) → Semantic Knowledge Structuring and Retrieval (node_id:s002M01TP09) → Organizational Culture and Unwritten Working Practices (node_id:s002M01TK12). Retrieved constraints are Software, Algorithmic, Data Quality and Interoperability Barriers (node_id:s002M01LI05); Organizational Culture, Leadership and Adoption Barriers (node_id:s002M01LI09); Knowledge Continuity, Documentation, Governance, Privacy and Security (node_id:s002M01LI10); conditions are none directly retrieved. Across cases, databases and rule-based systems organized semantic relations and evaluated whether unwritten organizational practices became searchable; evaluation is weaker evidence than direct capture or transfer.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Organizational Culture and Unwritten Working Practices (node_id:s002M01TK12). Its tacitness lies in skilled judgment, perception, coordination, or bodily performance that is difficult to detach from context and articulate completely. The focal practice mitigates Software, Algorithmic, Data Quality and Interoperability Barriers (node_id:s002M01LI05); Time, Staffing, Expertise, Scheduling and Workload Constraints (node_id:s002M01LI08); Organizational Culture, Leadership and Adoption Barriers (node_id:s002M01LI09); Knowledge Continuity, Documentation, Governance, Privacy and Security (node_id:s002M01LI10);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none directly retrieved.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Organizational Culture, Leadership and Adoption Barriers (node_id:s002M01LI09); Knowledge Continuity, Documentation, Governance, Privacy and Security (node_id:s002M01LI10). These links create a weakest-link effect: technical operation does not ensure retention, and experts remain responsible for validation and contextual judgment.
Integrative theoretical statement. Semantic Knowledge Structuring and Retrieval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</si>
  <si>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Semantic technologies retain tacit knowledge by organizing material into searchable relationships, categories, and retrieval paths. Data and knowledge systems, together with rule-based tools, structure unwritten organizational practices so later users can locate relevant information and compare it across situations. The dominant mechanism is Digital Codification because retention depends on a semantic representation outside the original knower. However, the link evaluates organizational culture and working practices rather than directly demonstrating their capture or transfer, so the evidence is conditional. Effective retention requires metadata, interoperable formats, curated vocabularies, corpus coverage, access governance, expert interpretation, and evidence that retrieved material informs competent action.</t>
  </si>
  <si>
    <t>TE04;TE08 -&gt; TP09 -&gt; TK12</t>
  </si>
  <si>
    <t>s002M01TP10</t>
  </si>
  <si>
    <t>Focal technology-enabled tacit knowledge retention approach. Database-supported Project Knowledge Archiving (node_id:s002M01TP10) is the single focal practice. It is defined in the graph as Preserves and retrieves codified project records, narratives, lessons learned, safety information, and operational knowledge through databases, data warehouses, or conventional KMS repositories. The node aggregates evidence across cases, so it represents a conceptual family rather than one event. The adopted technologies are Artificial Intelligence and Intelligent Computation (node_id:s002M01TE01). Adoption establishes technical availability and use, but it does not by itself establish retention.
Evidence chain (directional and bounded). The supported main chain is Artificial Intelligence and Intelligent Computation (node_id:s002M01TE01) → Database-supported Project Knowledge Archiving (node_id:s002M01TP10) → Unrecognized or Unarticulated Personal Know-how (node_id:s002M01TK04); Practised Motor and Tool-Operation Skill (node_id:s002M01TK05). Retrieved constraints are none directly retrieved; conditions are Political, Regulatory &amp; Jurisdictional Environment (node_id:s002M01ED01); Sociocultural &amp; Societal Environment (node_id:s002M01ED03); Strategic Leadership &amp; Sponsorship (node_id:s002M01OD02); Financial, Technical &amp; Information Resources (node_id:s002M01OD03); plus 1 additional retrieved nodes. Across cases, AI-assisted archiving converted project experience into repositories, with capture and transfer links to unarticulated know-how and practised skill.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Unrecognized or Unarticulated Personal Know-how (node_id:s002M01TK04); Practised Motor and Tool-Operation Skill (node_id:s002M01TK05). Its tacitness lies in skilled judgment, perception, coordination, or bodily performance that is difficult to detach from context and articulate completely. The focal practice mitigates Organizational Culture, Leadership and Adoption Barriers (node_id:s002M01LI09);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Sociocultural &amp; Societal Environment (node_id:s002M01ED03); Strategic Leadership &amp; Sponsorship (node_id:s002M01OD02); Financial, Technical &amp; Information Resources (node_id:s002M01OD03); plus 1 additional retrieved nodes. These dependencies are neutral enabling conditions: leadership, capable participants, resources, process integration, regulation, markets, or site context can enable deployment but can also become bottlenecks. It is constrained by none directly retrieved. These links create a weakest-link effect: technical operation does not ensure retention, and experts remain responsible for validation and contextual judgment.
Integrative theoretical statement. Database-supported Project Knowledge Archiving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</si>
  <si>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AI-supported archiving technologies retain tacit knowledge by converting project experience into organizational records. Tools help elicit, classify, summarize, and store unarticulated know-how and practised motor or operational skills within repositories. The dominant mechanism is Digital Codification because experience is externalized as structured content that can remain available after the original holder leaves. Archives can improve continuity and provide examples for work, but storage alone does not preserve contextual meaning or guarantee reuse. Effective retention depends on trustworthy elicitation, expert validation, appropriate metadata, privacy controls, stewardship, accessible retrieval, and organizational routines that translate archived material back into situated judgment and performance.</t>
  </si>
  <si>
    <t>TK04 Unrecognized or Unarticulated Personal Know-how
TK05 Practised Motor and Tool-Operation Skill</t>
  </si>
  <si>
    <t>TE01 -&gt; TP10 -&gt; TK04;TK05</t>
  </si>
  <si>
    <t>s002M01TP13</t>
  </si>
  <si>
    <t>Focal technology-enabled tacit knowledge retention approach. Criteria-based Performance Evaluation and Ranking (node_id:s002M01TP13) is the single focal practice. It is defined in the graph as Measures, compares, scores, or ranks learners, models, interventions, and alternatives using predefined criteria, indicators, benchmarks, or performance metrics. The node aggregates evidence across cases, so it represents a conceptual family rather than one event. The adopted technologies are Artificial Intelligence and Intelligent Computation (node_id:s002M01TE01); Data, Information, and Knowledge Systems (node_id:s002M01TE04). Adoption establishes technical availability and use, but it does not by itself establish retention.
Evidence chain (directional and bounded). The supported main chain is Artificial Intelligence and Intelligent Computation (node_id:s002M01TE01); Data, Information, and Knowledge Systems (node_id:s002M01TE04) → Criteria-based Performance Evaluation and Ranking (node_id:s002M01TP13) → Practised Motor and Tool-Operation Skill (node_id:s002M01TK05); Shared Professional Norms and Standards of Judgment (node_id:s002M01TK10). Retrieved constraints are Instructional Design, Delivery, Assessment and Transfer Shortcomings (node_id:s002M01LI04); Organizational Culture, Leadership and Adoption Barriers (node_id:s002M01LI09); Empirical Sample and Generalizability Limitations (node_id:s002M01LI14); conditions are Governance, Standards &amp; Formal Control (node_id:s002M01OD01); Strategic Leadership &amp; Sponsorship (node_id:s002M01OD02); Financial, Technical &amp; Information Resources (node_id:s002M01OD03); Time, Workload &amp; Operational Scheduling (node_id:s002M01OD04); plus 1 additional retrieved nodes. Across cases, AI and data systems converted performance into scores and benchmarks that evaluated motor skill and shared professional judgment; assessment evidences retention only when constructs and timing are valid.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Practised Motor and Tool-Operation Skill (node_id:s002M01TK05); Shared Professional Norms and Standards of Judgment (node_id:s002M01TK10). Its tacitness lies in skilled judgment, perception, coordination, or bodily performance that is difficult to detach from context and articulate completely. The focal practice mitigates Software, Algorithmic, Data Quality and Interoperability Barriers (node_id:s002M01LI05);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Governance, Standards &amp; Formal Control (node_id:s002M01OD01); Strategic Leadership &amp; Sponsorship (node_id:s002M01OD02); Financial, Technical &amp; Information Resources (node_id:s002M01OD03); Time, Workload &amp; Operational Scheduling (node_id:s002M01OD04); plus 1 additional retrieved nodes.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Organizational Culture, Leadership and Adoption Barriers (node_id:s002M01LI09); Empirical Sample and Generalizability Limitations (node_id:s002M01LI14). These links create a weakest-link effect: technical operation does not ensure retention, and experts remain responsible for validation and contextual judgment.
Integrative theoretical statement. Criteria-based Performance Evaluation and Ranking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</si>
  <si>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Digital evaluation technologies assist tacit knowledge retention by converting performance into comparable evidence. Artificial intelligence and information systems score, rank, or benchmark practical motor skill and shared professional judgment using criteria and indicators. The dominant mechanism is Digital Codification because the practice produces durable measurement records that reveal performance differences, learning decay, or corrective needs. Evaluation is a verification layer rather than the learning mechanism, and a score cannot represent embodied competence. Its contribution to retention depends on valid constructs, timing, representative tasks, transparent metrics, expert interpretation, corrective feedback, and organizational use of results to guide refresher learning and practice.</t>
  </si>
  <si>
    <t>TE01;TE04 -&gt; TP13 -&gt; TK05;TK10</t>
  </si>
  <si>
    <t xml:space="preserve"> </t>
  </si>
  <si>
    <t>s003M01TP03</t>
  </si>
  <si>
    <t>Focal technology-enabled tacit knowledge retention approach. Situated Experiential Learning through Extended Reality (node_id:s003M01TP03) is the single focal practice. Its definition describes uses vr, ar, mr, cave, or hybrid xr environments to support embodied rehearsal, contextual guidance, historical interpretation, hazard recognition, and situated knowledge transfer. The relationship evidence combines material from 4 case sources (c216, c214, c212, c225),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Cyber-Physical Systems, IoT, and Smart Environments (node_id:s003M01TE03); Data, Information, and Knowledge Systems (node_id:s003M01TE04); Imaging, Sensing, and Perception Technologies (node_id:s003M01TE05) → Situated Experiential Learning through Extended Reality (node_id:s003M01TP03) → Practised Motor and Tool-Operation Skill (node_id:s003M01TK05); Trained Sensory and Perceptual Recognition (node_id:s003M01TK06); Immediate Embodied Response to Changing Conditions (node_id:s003M01TK08); Informal Coordination, Communication, and Escalation Know-how (node_id:s003M01TK11); Shared Professional Norms and Standards of Judgment (node_id:s003M01TK10). The adoption links identify deployed digital technology families, while the capture/transfer links identify the knowledge object; they do not by themselves establish long-term retention. Secondary chain: Situated Experiential Learning through Extended Reality (node_id:s003M01TP03) → Geographic &amp; Physical Site Context (node_id:s003M01ED08); User Characteristics, Eligibility &amp; Participation Conditions (node_id:s003M01ED11); Governance, Standards &amp; Formal Control (node_id:s003M01OD01); Financial, Technical &amp; Information Resources (node_id:s003M01OD03); Time, Workload &amp; Operational Scheduling (node_id:s003M01OD04);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Practised Motor and Tool-Operation Skill (node_id:s003M01TK05); Trained Sensory and Perceptual Recognition (node_id:s003M01TK06); Immediate Embodied Response to Changing Conditions (node_id:s003M01TK08); Informal Coordination, Communication, and Escalation Know-how (node_id:s003M01TK11);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Individual Knowledge and Memory Decay (node_id:s003M01LI01); Individual Ergonomic, Usability and Immediate Safety Risks (node_id:s003M01LI02); Instructional Design, Delivery, Assessment and Transfer Shortcomings (node_id:s003M01LI04);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Geographic &amp; Physical Site Context (node_id:s003M01ED08); User Characteristics, Eligibility &amp; Participation Conditions (node_id:s003M01ED11); Governance, Standards &amp; Formal Control (node_id:s003M01OD01); Financial, Technical &amp; Information Resources (node_id:s003M01OD03); Time, Workload &amp; Operational Scheduling (node_id:s003M01OD04);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Ergonomic, Usability and Immediate Safety Risks (node_id:s003M01LI02); Human Physiological, Cognitive-Capacity and Demographic Constraints (node_id:s003M01LI03); Instructional Design, Delivery, Assessment and Transfer Shortcomings (node_id:s003M01LI04); Software, Algorithmic, Data Quality and Interoperability Barriers (node_id:s003M01LI05); Hardware, Sensor and Technical Infrastructure Constraints (node_id:s003M01LI06); Financial and Capital Constraints (node_id:s003M01LI07).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</si>
  <si>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Extended-reality technologies retain tacit knowledge by reconstructing consequential clinical and technical situations in which learners perceive cues, perform actions, coordinate responses, and receive feedback. AI, immersive interfaces, connected systems, data platforms, and sensing technologies create repeatable environments for practising motor control, perceptual recognition, rapid response, informal coordination, and professional judgment. The dominant mechanism is Experience Amplification because retention occurs through embodied rehearsal and internalization rather than through a standalone record. Simulations can support safe failure and repeated exposure, but durable transfer depends on realistic scenarios, accessible equipment, capable facilitation, manageable cognitive load, repeated practice, and assessment beyond immediate clinical performance.</t>
  </si>
  <si>
    <t>TK05 Practised Motor and Tool-Operation Skill
TK06 Trained Sensory and Perceptual Recognition
TK08 Immediate Embodied Response to Changing Conditions
TK11 Informal Coordination, Communication, and Escalation Know-how
TK10 Shared Professional Norms and Standards of Judgment</t>
  </si>
  <si>
    <t>TE01;TE02;TE03;TE04;TE05 -&gt; TP03 -&gt; TK05;TK06;TK08;TK11;TK10</t>
  </si>
  <si>
    <t>s003M01TP04</t>
  </si>
  <si>
    <t>Focal technology-enabled tacit knowledge retention approach. Interactive Consequence Learning and Digital Feedback (node_id:s003M01TP04) is the single focal practice. Its definition describes uses responsive simulations, animations, indicators, interfaces, or multisensory feedback to make relationships between actions, system states, and consequences experientially perceptible. The retrieved relationship evidence is concentrated in one case source, limiting cross-case generalization.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 Interactive Consequence Learning and Digital Feedback (node_id:s003M01TP04) → Shared Professional Norms and Standards of Judgment (node_id:s003M01TK10). The adoption links identify deployed digital technology families, while the capture/transfer links identify the knowledge object; they do not by themselves establish long-term retention. Secondary chain: Interactive Consequence Learning and Digital Feedback (node_id:s003M01TP04) → Financial, Technical &amp; Information Resources (node_id:s003M01OD03);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This supports a mechanism claim, but not a guarantee: capture can omit context, transfer can fail to produce competent performance, and evaluation can measure short-term response rather than longitudinal retention.
Conditions and constraints. The practice depends on Financial, Technical &amp; Information Resources (node_id:s003M01OD03);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Hardware, Sensor and Technical Infrastructure Constraints (node_id:s003M01LI06); Knowledge Continuity, Documentation, Governance, Privacy and Security (node_id:s003M01LI10);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</si>
  <si>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Interactive feedback technologies retain tacit knowledge by making the consequences of professional decisions visible during action. Artificial intelligence and immersive interfaces present scenarios, indicators, explanations, and multisensory feedback that help learners compare choices with accepted standards and adjust their judgment. The dominant mechanism is Experience Amplification because the learning value lies in experience, correction, and repeated decision-making, not primarily in preserving intuition as a document or dataset. This approach can reinforce shared professional norms, but retention depends on valid feedback, realistic cases, technical reliability, expert oversight, learner participation, and application. Short-term scores or engagement alone cannot demonstrate durable professional judgment.</t>
  </si>
  <si>
    <t>TE01;TE02 -&gt; TP04 -&gt; TK10</t>
  </si>
  <si>
    <t>s003M01TP11</t>
  </si>
  <si>
    <t>Focal technology-enabled tacit knowledge retention approach. Collaborative Knowledge Co-creation through Digital Platforms (node_id:s003M01TP11) is the single focal practice. Its definition describes uses portals, messaging systems, shared virtual environments, and online collaboration platforms to support peer exchange, collective interpretation, user contribution, and shared knowledge construction. The relationship evidence combines material from 3 case sources (c211, c217, c218),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Mobile, Social and Communication Technologies (node_id:s003M01TE07) → Collaborative Knowledge Co-creation through Digital Platforms (node_id:s003M01TP11) → Knowledge Conveyed Through Examples or Demonstration (node_id:s003M01TK02); Unrecognized or Unarticulated Personal Know-how (node_id:s003M01TK04); Shared Professional Norms and Standards of Judgment (node_id:s003M01TK10). The adoption links identify deployed digital technology families, while the capture/transfer links identify the knowledge object; they do not by themselves establish long-term retention. Secondary chain: Collaborative Knowledge Co-creation through Digital Platforms (node_id:s003M01TP11) → External Technological &amp; Infrastructure Environment (node_id:s003M01ED05); Governance, Standards &amp; Formal Control (node_id:s003M01OD01); Financial, Technical &amp; Information Resources (node_id:s003M01OD03); Culture, Trust &amp; Relational Climate (node_id:s003M01OD06).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Knowledge Conveyed Through Examples or Demonstration (node_id:s003M01TK02); Unrecognized or Unarticulated Personal Know-how (node_id:s003M01TK04);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External Technological &amp; Infrastructure Environment (node_id:s003M01ED05); Governance, Standards &amp; Formal Control (node_id:s003M01OD01); Financial, Technical &amp; Information Resources (node_id:s003M01OD03); Culture, Trust &amp; Relational Climate (node_id:s003M01OD06).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Ergonomic, Usability and Immediate Safety Risks (node_id:s003M01LI02); Human Physiological, Cognitive-Capacity and Demographic Constraints (node_id:s003M01LI03); Instructional Design, Delivery, Assessment and Transfer Shortcomings (node_id:s003M01LI04); Software, Algorithmic, Data Quality and Interoperability Barriers (node_id:s003M01LI05); Time, Staffing, Expertise, Scheduling and Workload Constraints (node_id:s003M01LI08); Organizational Culture, Leadership and Adoption Barriers (node_id:s003M01LI09).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</si>
  <si>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Collaborative digital platforms retain tacit knowledge by enabling experts and learners to exchange examples, narrate experience, discuss cases, correct interpretations, and negotiate standards. Artificial intelligence and mobile or social communication technologies expand participation and make unarticulated know-how encounterable through interaction and demonstration. The dominant mechanism is Experience Amplification because knowledge is retained through social learning, collective sensemaking, and repeated contribution rather than through an external record alone. Platforms can preserve supporting traces, but durable retention depends on trust, psychological safety, inclusive participation, governance, accessible infrastructure, and reuse. Without engagement and workflow integration, connectivity produces information exchange rather than shared capability.</t>
  </si>
  <si>
    <t>TK02 Knowledge Conveyed Through Examples or Demonstration
TK04 Unrecognized or Unarticulated Personal Know-how
TK10 Shared Professional Norms and Standards of Judgment</t>
  </si>
  <si>
    <t>TE01;TE07 -&gt; TP11 -&gt; TK02;TK04;TK10</t>
  </si>
  <si>
    <t>s003M01TP12</t>
  </si>
  <si>
    <t>Focal technology-enabled tacit knowledge retention approach. Multimedia and Blended Knowledge Internalization (node_id:s003M01TP12) is the single focal practice. Its definition describes combines digital content, interactive media, online resources, and face-to-face or workplace activities to strengthen demonstration, participation, and knowledge internalization. The relationship evidence combines material from 5 case sources (c210, c224, c218, c217, c219),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Human–Computer Interaction and Immersive Technologies (node_id:s003M01TE02); Data, Information, and Knowledge Systems (node_id:s003M01TE04); Mobile, Social and Communication Technologies (node_id:s003M01TE07) → Multimedia and Blended Knowledge Internalization (node_id:s003M01TP12) → Practised Motor and Tool-Operation Skill (node_id:s003M01TK05). The adoption links identify deployed digital technology families, while the capture/transfer links identify the knowledge object; they do not by themselves establish long-term retention. Secondary chain: Multimedia and Blended Knowledge Internalization (node_id:s003M01TP12) → Political, Regulatory &amp; Jurisdictional Environment (node_id:s003M01ED01); External Technological &amp; Infrastructure Environment (node_id:s003M01ED05); Local Utility &amp; Connectivity Conditions (node_id:s003M01ED09); Financial, Technical &amp; Information Resources (node_id:s003M01OD03); Time, Workload &amp; Operational Scheduling (node_id:s003M01OD04);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Practised Motor and Tool-Operation Skill (node_id:s003M01TK05).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Hardware, Sensor and Technical Infrastructure Constraints (node_id:s003M01LI06); Financial and Capital Constraints (node_id:s003M01LI07); Time, Staffing, Expertise, Scheduling and Workload Constraints (node_id:s003M01LI08); Organizational Culture, Leadership and Adoption Barriers (node_id:s003M01LI09).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Local Utility &amp; Connectivity Conditions (node_id:s003M01ED09); Financial, Technical &amp; Information Resources (node_id:s003M01OD03); Time, Workload &amp; Operational Scheduling (node_id:s003M01OD04);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Knowledge and Memory Decay (node_id:s003M01LI01); Instructional Design, Delivery, Assessment and Transfer Shortcomings (node_id:s003M01LI04); Hardware, Sensor and Technical Infrastructure Constraints (node_id:s003M01LI06); Time, Staffing, Expertise, Scheduling and Workload Constraints (node_id:s003M01LI08); Organizational Culture, Leadership and Adoption Barriers (node_id:s003M01LI09);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</si>
  <si>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Blended technologies retain tacit knowledge by combining digital content with discussion, demonstration, workplace activity, and practice. Immersive interfaces, data platforms, and mobile tools provide videos, examples, prompts, and access, while face-to-face or workplace participation lets learners rehearse motor and tool-operation skills and receive feedback. The dominant mechanism is Experience Amplification because the technology scaffolds internalization through situated action rather than preserving competence as a record. Retention depends on reliable infrastructure, connectivity, sufficient practice time, capable facilitators, organizational support, and alignment between digital material and real tasks. Passive consumption or immediate assessment results do not establish durable transfer into competent performance.</t>
  </si>
  <si>
    <t>TE02;TE04;TE07 -&gt; TP12 -&gt; TK05</t>
  </si>
  <si>
    <t>s003M01TP01</t>
  </si>
  <si>
    <t>Focal technology-enabled tacit knowledge retention approach. Model-based Knowledge Representation and Simulation (node_id:s003M01TP01) is the single focal practice. Its dominant activity is the construction of persistent, patient-specific anatomical representations: CT images in DICOM format are reconstructed in Mimics, post-processed in 3-matic or Voxel Dance, and converted into digital or 3D-printed models. Although learners subsequently interact with these artifacts, interaction does not transform a desktop visualization or physical print into an extended-reality practice. The virtual-clinical-scenario evidence (c224M01N15) is conceptually inconsistent with the otherwise model-centered evidence and should be reviewed for reassignment to TP03 rather than used to recode the complete aggregate.
Evidence chain (directional and bounded). Main chain: Human–Computer Interaction and Immersive Technologies (node_id:s003M01TE02), Cyber-Physical Systems, IoT, and Smart Environments (node_id:s003M01TE03), Data, Information, and Knowledge Systems (node_id:s003M01TE04), and Imaging, Sensing, and Perception Technologies (node_id:s003M01TE05) → Model-based Knowledge Representation and Simulation (node_id:s003M01TP01) → Practised Motor and Tool-Operation Skill (node_id:s003M01TK05), Trained Sensory and Perceptual Recognition (node_id:s003M01TK06), and Shared Professional Norms and Standards of Judgment (node_id:s003M01TK10). Secondary chain: the focal practice depends on Governance, Standards &amp; Formal Control (node_id:s003M01OD01), Financial, Technical &amp; Information Resources (node_id:s003M01OD03), and Human Capacity, Roles &amp; Participation (node_id:s003M01OD05). Adoption supports the pathway but does not itself establish retention.
Retention Mechanism — Digital Coding. The practice principally translates imaging data, anatomical boundaries, vascular pathways, tumour margins, and surgical resection areas into durable, inspectable representations. The decisive counterfactual is representational: without reconstruction and modelling, the patient-specific spatial relationships would not persist in a form that can be revisited, replicated, compared, or used independently of the original clinical encounter. Visual–tactile inspection, demonstration, and surgical rehearsal are downstream uses of the codified model, not evidence that the focal practice is TP03. Experience amplification is therefore not assigned as a second classification.
Tacit Knowledge Retained. The representations partially externalize perceptual and procedural judgment by making otherwise difficult spatial relationships visible and manipulable. Evidence links the models to vascular-spatial recognition, localization and resection techniques, surgical application, and standards for safe margins. This does not mean motor skill or judgment is fully codified: competent performance still requires interpretation and practice. The model preserves cues and relationships from which such knowing can be reconstructed; it does not store embodied competence itself.
Conditions and constraints. Model fidelity depends on accurate imaging, boundary delineation, preprocessing, printing infrastructure, funding, and medically prepared learners. The practice is constrained by incomplete safe-margin information, unclear sublobar boundaries, glare or refraction, obstructed structures, limited interactivity, production time, technical complexity, and cost (node_id:s003M01LI05; node_id:s003M01LI06; node_id:s003M01LI07; node_id:s003M01LI08). Model redesign can mitigate some visibility and boundary problems, but not eliminate the need for expert validation.
Integrative theoretical statement. s003M01TP01 illustrates tacit-knowledge retention through Digital Coding: emerging technologies stabilize clinically meaningful spatial and procedural cues in durable models, while human teaching and rehearsal convert those representations into enacted skill. The evidence supports TP01 as the exclusive practice category; the isolated virtual-scenario item should be separated rather than allowed to blur TP01 with TP03.</t>
  </si>
  <si>
    <t>Model-based technologies retain tacit knowledge by converting patient imaging and anatomical relationships into persistent digital or printed representations. Interactive 3D models allow learners to inspect spatial structures, rehearse surgical decisions, compare safe margins, and recover perceptual or procedural cues beyond the original clinical encounter. The dominant mechanism is Digital Codification because imaging, modelling, and data systems externalize anatomy and decision-relevant relationships into revisitable artifacts. These models support motor learning, perceptual recognition, and professional judgment, but they do not store embodied competence itself. Retention requires accurate segmentation, expert validation, appropriate model design, usable interfaces, printing resources, and practice in clinical contexts.</t>
  </si>
  <si>
    <t>TK05 Practised Motor and Tool-Operation Skill
TK06 Trained Sensory and Perceptual Recognition
TK10 Shared Professional Norms and Standards of Judgment</t>
  </si>
  <si>
    <t>TE02;TE03;TE04;TE05 -&gt; TP01 -&gt; TK05;TK06;TK10</t>
  </si>
  <si>
    <t>s003M01TP07</t>
  </si>
  <si>
    <t>Focal technology-enabled tacit knowledge retention approach. Algorithmic Pattern Discovery and Prediction (node_id:s003M01TP07) is the single focal practice. Its definition describes uses ai, machine learning, nlp, statistical learning, or rule-based algorithms to derive classifications, forecasts, detected patterns, and predicted conditions from data. The relationship evidence combines material from 8 case sources (c222, c215, c221, c212, c209, c213…),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Data, Information, and Knowledge Systems (node_id:s003M01TE04); Imaging, Sensing, and Perception Technologies (node_id:s003M01TE05); Security, Privacy, and Trustworthy Technologies (node_id:s003M01TE06) → Algorithmic Pattern Discovery and Prediction (node_id:s003M01TP07) → Trained Sensory and Perceptual Recognition (node_id:s003M01TK06); Shared Professional Norms and Standards of Judgment (node_id:s003M01TK10). The adoption links identify deployed digital technology families, while the capture/transfer links identify the knowledge object; they do not by themselves establish long-term retention. Secondary chain: Algorithmic Pattern Discovery and Prediction (node_id:s003M01TP07) → Political, Regulatory &amp; Jurisdictional Environment (node_id:s003M01ED01); External Technological &amp; Infrastructure Environment (node_id:s003M01ED05); Client, Procurement &amp; Institutional Environment (node_id:s003M01ED06); Supply-Chain &amp; Logistical Environment (node_id:s003M01ED07); Governance, Standards &amp; Formal Control (node_id:s003M01OD01).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Trained Sensory and Perceptual Recognition (node_id:s003M01TK06);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Software, Algorithmic, Data Quality and Interoperability Barriers (node_id:s003M01LI05); Hardware, Sensor and Technical Infrastructure Constraints (node_id:s003M01LI06); Time, Staffing, Expertise, Scheduling and Workload Constraints (node_id:s003M01LI08);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Client, Procurement &amp; Institutional Environment (node_id:s003M01ED06); Supply-Chain &amp; Logistical Environment (node_id:s003M01ED07); Governance, Standards &amp; Formal Control (node_id:s003M01OD01).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Hardware, Sensor and Technical Infrastructure Constraints (node_id:s003M01LI06); Time, Staffing, Expertise, Scheduling and Workload Constraints (node_id:s003M01LI08); Knowledge Continuity, Documentation, Governance, Privacy and Security (node_id:s003M01LI10).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</si>
  <si>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Algorithmic technologies retain tacit knowledge by translating observations, sensor signals, and expert judgments into classifications, predictions, and decision cues. Artificial intelligence, knowledge systems, sensing technologies, and privacy-supporting tools make perceptual patterns and professional standards explicit enough for comparison, monitoring, and interpretation. The dominant mechanism is Digital Codification because experiential traces become durable analytical representations rather than remaining solely within individual cognition. These outputs can support diagnosis, forecasting, and evaluation, but retention requires representative data, interoperable infrastructure, transparent models, expert validation, privacy safeguards, and workflow integration. Bias, sensor error, context loss, or uncritical automation can preserve misleading patterns instead of knowledge.</t>
  </si>
  <si>
    <t>TE01;TE04;TE05;TE06 -&gt; TP07 -&gt; TK06;TK10</t>
  </si>
  <si>
    <t>s003M01TP09</t>
  </si>
  <si>
    <t>Focal technology-enabled tacit knowledge retention approach. Semantic Knowledge Structuring and Retrieval (node_id:s003M01TP09) is the single focal practice. Its definition describes uses knowledge graphs, semantic metadata, embeddings, vector databases, and meaning-based search to represent knowledge relationships and retrieve contextually relevant information. The relationship evidence combines material from 3 case sources (c219, c222, c214),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Data, Information, and Knowledge Systems (node_id:s003M01TE04); Rule-Based, Decision and Expert Systems (node_id:s003M01TE08) → Semantic Knowledge Structuring and Retrieval (node_id:s003M01TP09) → Knowledge Conveyed Through Examples or Demonstration (node_id:s003M01TK02); Practised Motor and Tool-Operation Skill (node_id:s003M01TK05); Shared Professional Norms and Standards of Judgment (node_id:s003M01TK10); TK09 Shared Professional Language and Contextual Meaning (node_id:s003M01TK09). The adoption links identify deployed digital technology families, while the capture/transfer links identify the knowledge object; they do not by themselves establish long-term retention. Secondary chain: Semantic Knowledge Structuring and Retrieval (node_id:s003M01TP09) → External Technological &amp; Infrastructure Environment (node_id:s003M01ED05); Local Utility &amp; Connectivity Conditions (node_id:s003M01ED09); Governance, Standards &amp; Formal Control (node_id:s003M01OD01); Human Capacity, Roles &amp; Participation (node_id:s003M01OD05); Organizational Structure &amp; Process Design (node_id:s003M01OD08).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Knowledge Conveyed Through Examples or Demonstration (node_id:s003M01TK02); Practised Motor and Tool-Operation Skill (node_id:s003M01TK05); Shared Professional Norms and Standards of Judgment (node_id:s003M01TK10); TK09 Shared Professional Language and Contextual Meaning (node_id:s003M01TK09).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Software, Algorithmic, Data Quality and Interoperability Barriers (node_id:s003M01LI05). This supports a mechanism claim, but not a guarantee: capture can omit context, transfer can fail to produce competent performance, and evaluation can measure short-term response rather than longitudinal retention.
Conditions and constraints. The practice depends on External Technological &amp; Infrastructure Environment (node_id:s003M01ED05); Local Utility &amp; Connectivity Conditions (node_id:s003M01ED09); Governance, Standards &amp; Formal Control (node_id:s003M01OD01); Human Capacity, Roles &amp; Participation (node_id:s003M01OD05); Organizational Structure &amp; Process Design (node_id:s003M01OD08).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Instructional Design, Delivery, Assessment and Transfer Shortcomings (node_id:s003M01LI04); Software, Algorithmic, Data Quality and Interoperability Barriers (node_id:s003M01LI05); Time, Staffing, Expertise, Scheduling and Workload Constraints (node_id:s003M01LI08).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</si>
  <si>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Semantic technologies retain tacit knowledge by organizing cases, demonstrations, procedures, professional language, and judgment into searchable relationships and retrieval structures. Artificial intelligence, data systems, and rule-based tools transform experiential material into knowledge graphs, semantic metadata, embeddings, or expert-system links that later users can navigate and reinterpret. The dominant mechanism is Digital Codification because situated knowledge is preserved as an explicit, durable structure outside the original knower. The approach supports examples, motor procedures, contextual meaning, and professional standards, but retention depends on curated vocabularies, reliable metadata, interoperable systems, expert validation, adequate connectivity, and opportunities to translate retrieved representations into competent practice.</t>
  </si>
  <si>
    <t>TK02 Knowledge Conveyed Through Examples or Demonstration
TK05 Practised Motor and Tool-Operation Skill
TK10 Shared Professional Norms and Standards of Judgment
TK09 Shared Professional Language and Contextual Meaning</t>
  </si>
  <si>
    <t>TE01;TE04;TE08 -&gt; TP09 -&gt; TK02;TK05;TK10;TK09</t>
  </si>
  <si>
    <t>s003M01TP10</t>
  </si>
  <si>
    <t>Focal technology-enabled tacit knowledge retention approach. Database-supported Project Knowledge Archiving (node_id:s003M01TP10) is the single focal practice. Its definition describes preserves and retrieves codified project records, narratives, lessons learned, safety information, and operational knowledge through databases, data warehouses, or conventional kms repositories. The relationship evidence combines material from 2 case sources (c221, c227),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Human–Computer Interaction and Immersive Technologies (node_id:s003M01TE02); Data, Information, and Knowledge Systems (node_id:s003M01TE04) → Database-supported Project Knowledge Archiving (node_id:s003M01TP10) → TK09 Shared Professional Language and Contextual Meaning (node_id:s003M01TK09). The adoption links identify deployed digital technology families, while the capture/transfer links identify the knowledge object; they do not by themselves establish long-term retention. Secondary chain: Database-supported Project Knowledge Archiving (node_id:s003M01TP10) → Supply-Chain &amp; Logistical Environment (node_id:s003M01ED07).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TK09 Shared Professional Language and Contextual Meaning (node_id:s003M01TK09).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Supply-Chain &amp; Logistical Environment (node_id:s003M01ED07).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no qualifying node.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</si>
  <si>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Database-supported archiving retains tacit knowledge by converting project narratives, records, safety information, and contextual language into durable repositories. Interactive interfaces and knowledge systems enable contributors to record, organize, retrieve, and reuse explanations that would otherwise remain dispersed across individuals or work arrangements. The dominant mechanism is Digital Codification because the practice preserves experience as searchable material independent of the original holder. It supports TK09 Shared Professional Language and Contextual Meaning, yet storage alone cannot guarantee understanding or application. Effective retention requires trustworthy elicitation, metadata, accessible search, privacy governance, stewardship, supply-chain continuity, expert interpretation, and routines that reconnect archived content with action.</t>
  </si>
  <si>
    <t>TK09 Shared Professional Language and Contextual Meaning</t>
  </si>
  <si>
    <t>TE02;TE04 -&gt; TP10 -&gt; TK09</t>
  </si>
  <si>
    <t>s003M01TP13</t>
  </si>
  <si>
    <t>Focal technology-enabled tacit knowledge retention approach. Criteria-based Performance Evaluation and Ranking (node_id:s003M01TP13) is the single focal practice. Its definition describes measures, compares, scores, or ranks learners, models, interventions, and alternatives using predefined criteria, indicators, benchmarks, or performance metrics. The relationship evidence combines material from 6 case sources (c213, c214, c227, c218, c212, c224),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Data, Information, and Knowledge Systems (node_id:s003M01TE04); Security, Privacy, and Trustworthy Technologies (node_id:s003M01TE06) → Criteria-based Performance Evaluation and Ranking (node_id:s003M01TP13) → Organizational Culture and Unwritten Working Practices (node_id:s003M01TK12). The adoption links identify deployed digital technology families, while the capture/transfer links identify the knowledge object; they do not by themselves establish long-term retention. Secondary chain: Criteria-based Performance Evaluation and Ranking (node_id:s003M01TP13) → Political, Regulatory &amp; Jurisdictional Environment (node_id:s003M01ED01); External Technological &amp; Infrastructure Environment (node_id:s003M01ED05); Strategic Leadership &amp; Sponsorship (node_id:s003M01OD02); Time, Workload &amp; Operational Scheduling (node_id:s003M01OD04); Human Capacity, Roles &amp; Participation (node_id:s003M01OD05); Culture, Trust &amp; Relational Climate (node_id:s003M01OD06).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Organizational Culture and Unwritten Working Practices (node_id:s003M01TK12).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Strategic Leadership &amp; Sponsorship (node_id:s003M01OD02); Time, Workload &amp; Operational Scheduling (node_id:s003M01OD04); Human Capacity, Roles &amp; Participation (node_id:s003M01OD05); Culture, Trust &amp; Relational Climate (node_id:s003M01OD06).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Time, Staffing, Expertise, Scheduling and Workload Constraints (node_id:s003M01LI08); Organizational Culture, Leadership and Adoption Barriers (node_id:s003M01LI09); Knowledge Continuity, Documentation, Governance, Privacy and Security (node_id:s003M01LI10); Research Design, Measurement and Validation Flaws (node_id:s003M01LI13); Empirical Sample and Generalizability Limitations (node_id:s003M01LI14).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</si>
  <si>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Digital evaluation technologies retain tacit knowledge by translating performance, organizational routines, and professional expectations into criteria, scores, comparisons, and reviewable records. Artificial intelligence, interactive systems, knowledge platforms, and trustworthy technologies make implicit working practices visible enough to assess, benchmark, and revisit. The dominant mechanism is Digital Codification because the practice externalizes judgments and cultural patterns as evaluative representations. These records can reveal gaps and trigger corrective learning, but evaluation is a verification layer rather than the original learning process. Retention depends on valid constructs, evidence, transparent scoring, expert interpretation, privacy protection, leadership support, and organizational use of results for improvement.</t>
  </si>
  <si>
    <t>TE01;TE02;TE04;TE06 -&gt; TP13 -&gt; TK12</t>
  </si>
  <si>
    <t>s003M01TP15</t>
  </si>
  <si>
    <t>Focal technology-enabled tacit knowledge retention approach. Distributed-Ledger-enabled Transaction Assurance and Traceability (node_id:s003M01TP15) is the single focal practice. Its definition describes uses blockchain or distributed-ledger technologies to create verifiable transaction records, strengthen provenance and supply-chain traceability, validate products, and automate trusted exchanges through smart contracts or related mechanisms. The relationship evidence combines material from 2 case sources (c213, c221),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Cyber-Physical Systems, IoT, and Smart Environments (node_id:s003M01TE03); Data, Information, and Knowledge Systems (node_id:s003M01TE04); Security, Privacy, and Trustworthy Technologies (node_id:s003M01TE06) → Distributed-Ledger-enabled Transaction Assurance and Traceability (node_id:s003M01TP15) → Unrecognized or Unarticulated Personal Know-how (node_id:s003M01TK04). The adoption links identify deployed digital technology families, while the capture/transfer links identify the knowledge object; they do not by themselves establish long-term retention. Secondary chain: Distributed-Ledger-enabled Transaction Assurance and Traceability (node_id:s003M01TP15) → Political, Regulatory &amp; Jurisdictional Environment (node_id:s003M01ED01); Governance, Standards &amp; Formal Control (node_id:s003M01OD01); Financial, Technical &amp; Information Resources (node_id:s003M01OD03); Human Capacity, Roles &amp; Participation (node_id:s003M01OD05); Incentives &amp; Performance Alignment (node_id:s003M01OD07).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Unrecognized or Unarticulated Personal Know-how (node_id:s003M01TK04).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Software, Algorithmic, Data Quality and Interoperability Barriers (node_id:s003M01LI05); Organizational Culture, Leadership and Adoption Barriers (node_id:s003M01LI09);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Governance, Standards &amp; Formal Control (node_id:s003M01OD01); Financial, Technical &amp; Information Resources (node_id:s003M01OD03); Human Capacity, Roles &amp; Participation (node_id:s003M01OD05); Incentives &amp; Performance Alignment (node_id:s003M01OD07).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</si>
  <si>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Distributed-ledger technologies retain tacit knowledge by attaching provenance, accountability, and tamper-resistant records to transactions and knowledge contributions. Artificial intelligence, connected systems, data platforms, and security technologies can convert unarticulated personal know-how into traceable traces whose origin, sequence, and authorization remain reviewable. The dominant mechanism is Digital Codification because retention depends on durable external records rather than situated rehearsal. Traceability may strengthen trust and continuity across organizational boundaries, but it cannot preserve contextual judgment or ensure competent reuse. Effective retention requires reliable data entry, expert validation, governance, privacy safeguards, interoperable infrastructure, incentives, and procedures that reconnect verified records with practical decision-making.</t>
  </si>
  <si>
    <t>TK04 Unrecognized or Unarticulated Personal Know-how</t>
  </si>
  <si>
    <t>TE01;TE03;TE04;TE06 -&gt; TP15 -&gt; TK04</t>
  </si>
  <si>
    <t>Focal pattern</t>
  </si>
  <si>
    <t>Definition</t>
  </si>
  <si>
    <t>Purpose / theoretical value</t>
  </si>
  <si>
    <t>Cypher</t>
  </si>
  <si>
    <t>Cross-sector TP–TK convergence</t>
  </si>
  <si>
    <t>A comparable TP is associated with comparable TK forms across all three sectors.</t>
  </si>
  <si>
    <r>
      <rPr>
        <sz val="11"/>
        <color theme="1"/>
        <rFont val="Calibri"/>
        <charset val="134"/>
        <scheme val="minor"/>
      </rPr>
      <t xml:space="preserve">Identifies the strongest evidence of a </t>
    </r>
    <r>
      <rPr>
        <b/>
        <sz val="11"/>
        <color theme="1"/>
        <rFont val="Calibri"/>
        <charset val="134"/>
        <scheme val="minor"/>
      </rPr>
      <t>cross-sector common retention configuration</t>
    </r>
    <r>
      <rPr>
        <sz val="11"/>
        <color theme="1"/>
        <rFont val="Calibri"/>
        <charset val="134"/>
        <scheme val="minor"/>
      </rPr>
      <t xml:space="preserve"> and helps reveal what may transcend sector boundaries at both the practice and knowledge-target levels.</t>
    </r>
  </si>
  <si>
    <t>MATCH (tp:TechnologyenablePractice)-[r]-(b:TacitKnowledge|EnvironmentalDependency|OrganizationalDependency|Limitation) 
WHERE tp.node_id = 'h001M01TP03' AND NOT coalesce(b.node_name, '') STARTS WITH 'Ambiguous'
WITH tp, COLLECT({src_node:tp, rel: r, dst_node: b}) AS tpBy,
COLLECT(DISTINCT b) AS tp_r_list
OPTIONAL MATCH (tp)-[r:is_an_instance_of]-(b)
WHERE NOT coalesce(b.node_name, '') STARTS WITH 'Ambiguous'
WITH tp, tpBy,tp_r_list,
COLLECT({src_node:tp, rel: r, dst_node: b}) AS tp_child_By,
COLLECT(DISTINCT b) AS tp_child_list
OPTIONAL MATCH (a)-[r:is_an_instance_of]-(b)
WHERE a in tp_r_list AND NOT coalesce(b.node_name, '') STARTS WITH 'Ambiguous'
WITH tp, tpBy,tp_r_list,tp_child_By,tp_child_list,
COLLECT({src_node:a, rel: r, dst_node: b}) AS tp_r_child_by,
COLLECT(DISTINCT b) AS tp_r_child_list
OPTIONAL MATCH (a)-[r]-(b)
WHERE a in tp_child_list AND b in tp_r_child_list
WITH tp, tpBy,tp_child_By,tp_r_child_by,
COLLECT({src_node:a, rel: r, dst_node: b}) AS childBy
RETURN tp, tpBy,tp_child_By,childBy,tp_r_child_by</t>
  </si>
  <si>
    <t xml:space="preserve">You are an expert academic scholar with interdisciplinary expertise in knowledge management, emerging technologies, organizational capabilities, and innovation.
***Task***
Analyze the knowledge graphs extracted from multiple cases and conduct a qualitative analysis to assess whether this sub-group can validate that &lt;TP03, TK06&gt; belongs to this pattern type.
- Name: Cross-sector TP–TK convergence
- Definition:  A comparable TP is associated with comparable TK forms across all three sectors. 
- Purpose: Identifies the strongest evidence of a cross-sector common retention configuration and helps reveal what may transcend sector boundaries at both the practice and knowledge-target levels.
***Input data***
Use [$analyze-neo4j-knowledge-graph] to execute the following Cypher query:MATCH (tk:TacitKnowledge)-[r]-(b:TechnologyenablePractice|Limitation) 
MATCH (tp:TechnologyenablePractice)-[r]-(b:TacitKnowledge|EnvironmentalDependency|OrganizationalDependency|Limitation) 
WHERE tp.node_id = 'h001M01TP03' AND NOT coalesce(b.node_name, '') STARTS WITH 'Ambiguous'
WITH tp, COLLECT({src_node:tp, rel: r, dst_node: b}) AS tpBy,
COLLECT(DISTINCT b) AS tp_r_list
OPTIONAL MATCH (tp)-[r:is_an_instance_of]-(b)
WHERE NOT coalesce(b.node_name, '') STARTS WITH 'Ambiguous'
WITH tp, tpBy,tp_r_list,
COLLECT({src_node:tp, rel: r, dst_node: b}) AS tp_child_By,
COLLECT(DISTINCT b) AS tp_child_list
OPTIONAL MATCH (a)-[r:is_an_instance_of]-(b)
WHERE a in tp_r_list AND NOT coalesce(b.node_name, '') STARTS WITH 'Ambiguous'
WITH tp, tpBy,tp_r_list,tp_child_By,tp_child_list,
COLLECT({src_node:a, rel: r, dst_node: b}) AS tp_r_child_by,
COLLECT(DISTINCT b) AS tp_r_child_list
OPTIONAL MATCH (a)-[r]-(b)
WHERE a in tp_child_list AND b in tp_r_child_list
WITH tp, tpBy,tp_child_By,tp_r_child_by,
COLLECT({src_node:a, rel: r, dst_node: b}) AS childBy
RETURN tp, tpBy,tp_child_By,childBy,tp_r_child_by
***Output Structure***
Pattern Name: TP03 Situated Experiential Learning through Extended Reality
Pattern Type: Cross-sector TP–TK convergence
Technology-enable Practice Definition: Uses technologies like VR, AR, MR, CAVE, or hybrid XR environments to support embodied rehearsal, contextual guidance, historical interpretation, hazard recognition, and situated knowledge transfer.
Evidence Chain:&lt;draw a svg figure to exhibit the evidence from the center TP03 to industry-level to case-levle, mark the tacit knowledge and technology-enable practice in each node&gt;  
Inspiring Cues:
Resource and Capability Dependencies:
Organizational Culture Dependencies:
</t>
  </si>
  <si>
    <t>&lt;TP03,TK06&gt;</t>
  </si>
  <si>
    <t xml:space="preserve">MATCH (a)-[r]-(b:EnvironmentalDependency|OrganizationalDependency|Limitation)
WHERE (a.node_id = 'h001M01TP03' OR a.node_id = 'h001M01TK06') AND NOT coalesce(b.node_name, '') STARTS WITH 'Ambiguous' AND NOT (b.node_id CONTAINS 'LI13' OR b.node_id CONTAINS 'LI14')
WITH COLLECT({src_node:a, rel: r, dst_node: b}) AS c_r_dep,
COLLECT(DISTINCT b) AS c_r_list
OPTIONAL MATCH (a)-[r:is_an_instance_of]-(b)
WHERE (a.node_id = 'h001M01TP03' OR a.node_id = 'h001M01TK06') AND NOT coalesce(b.node_name, '') STARTS WITH 'Ambiguous'
WITH c_r_dep, c_r_list,
COLLECT({src_node:a, rel: r, dst_node: b}) AS c_r_child,
COLLECT(DISTINCT b) AS c_child_list
OPTIONAL MATCH (a)-[r]-(b)
WHERE a IN c_child_list AND b IN c_child_list
WITH c_r_dep, c_r_child,c_r_list,
COLLECT({src_node:a, rel: r, dst_node: b}) AS c_child_r_c_child,
COLLECT(DISTINCT b) AS c_child_list
OPTIONAL MATCH (a)-[r:is_an_instance_of]-(b)
WHERE a in c_r_list AND NOT coalesce(b.node_name, '') STARTS WITH 'Ambiguous'
WITH c_r_dep, c_r_list, c_r_child,c_child_list,c_child_r_c_child,
COLLECT({src_node:a, rel: r, dst_node: b}) AS dep_r_child,
COLLECT(DISTINCT b) AS r_child_list
OPTIONAL MATCH (a)-[r]-(b)
WHERE a in c_child_list AND b in r_child_list
WITH c_r_dep, c_r_child,dep_r_child, c_child_list,c_child_r_c_child,
COLLECT({src_node:a, rel: r, dst_node: b}) AS c_child_r_dep_child
OPTIONAL MATCH (a)-[r]-(b)
WHERE a.node_id = 'h001M01TP07' AND b.node_id = 'h001M01TK10'
WITH c_r_dep, c_r_child,dep_r_child, c_child_r_dep_child,c_child_list,c_child_r_c_child,
COLLECT({src_node:a, rel: r, dst_node: b}) AS c_r_c
// ========== 1. 清洗：去掉 rel 为 null 的占位 ==========
WITH [x IN c_r_dep     WHERE x.rel IS NOT NULL] AS c_r_dep,
     [x IN c_r_child WHERE x.rel IS NOT NULL] AS c_r_child,
     [x IN dep_r_child WHERE x.rel IS NOT NULL] AS dep_r_child,
     [x IN c_child_r_dep_child  WHERE x.rel IS NOT NULL] AS c_child_r_dep_child,
     [x IN c_r_c       WHERE x.rel IS NOT NULL] AS c_r_c,
     [x IN c_child_r_c_child       WHERE x.rel IS NOT NULL] AS c_child_r_c_child
// ========== 2. 合并所有输出边 = 输出子图 ==========
WITH c_r_dep, c_r_child, dep_r_child, c_child_r_dep_child, c_r_c,c_child_r_c_child,
     c_r_dep + c_r_child + dep_r_child + c_child_r_dep_child + c_r_c + c_child_r_c_child AS all_edges
// ========== 3. 在子图内统计每个节点的度数（出入度之和）==========
UNWIND all_edges AS e
UNWIND [e.src_node, e.dst_node] AS n
WITH c_r_dep, c_r_child, dep_r_child, c_child_r_dep_child, c_r_c, c_child_r_c_child,
     elementId(n) AS nid, count(*) AS sub_deg
WITH c_r_dep, c_r_child, dep_r_child, c_child_r_dep_child, c_r_c,c_child_r_c_child,
     collect([nid, sub_deg]) AS pairs
WITH c_r_dep, c_r_child, dep_r_child, c_child_r_dep_child, c_r_c,c_child_r_c_child,
     apoc.map.fromPairs(pairs) AS deg_map
// ========== 4. 用子图度数过滤（≠ 1）==========
RETURN
  [x IN c_r_c       WHERE deg_map[elementId(x.src_node)] &lt;&gt; 1
                   AND   deg_map[elementId(x.dst_node)] &lt;&gt; 1] AS c_r_c,
  [x IN c_r_dep     WHERE deg_map[elementId(x.src_node)] &lt;&gt; 1
                   AND   deg_map[elementId(x.dst_node)] &lt;&gt; 1] AS c_r_dep,
  [x IN c_r_child     WHERE deg_map[elementId(x.src_node)] &lt;&gt; 1
                   AND   deg_map[elementId(x.dst_node)] &lt;&gt; 1] AS c_r_child,
  [x IN dep_r_child WHERE deg_map[elementId(x.src_node)] &lt;&gt; 1
                   AND   deg_map[elementId(x.dst_node)] &lt;&gt; 1] AS dep_r_child,
  [x IN c_child_r_c_child       WHERE deg_map[elementId(x.src_node)] &lt;&gt; 1
                   AND   deg_map[elementId(x.dst_node)] &lt;&gt; 1] AS c_child_r_c_child,
  [x IN c_child_r_dep_child  WHERE deg_map[elementId(x.src_node)] &lt;&gt; 1
                   AND   deg_map[elementId(x.dst_node)] &lt;&gt; 1] AS c_child_r_dep_child;
</t>
  </si>
  <si>
    <t xml:space="preserve">You are an expert academic scholar with interdisciplinary expertise in knowledge management, emerging technologies, organizational capabilities, and innovation.
***Task***
Analyze the knowledge graphs extracted from multiple cases and conduct a qualitative analysis to assess whether this sub-group can validate that &lt;TP03, TK06&gt; belongs to this pattern type.  During the analytical process, all claims you generate should be supported by the evidence in the knowledge graphs.
- Name: Cross-sector TP–TK convergence
- Definition:  A comparable TP is associated with comparable TK forms across all three sectors. 
- Purpose: Identifies the strongest evidence of a cross-sector common retention configuration and helps reveal what may transcend sector boundaries at both the practice and knowledge-target levels.
***Input data***
Use [$analyze-neo4j-knowledge-graph] to execute the following Cypher query:
MATCH (a)-[r]-(b:EnvironmentalDependency|OrganizationalDependency|Limitation)
WHERE (a.node_id = 'h001M01TP03' OR a.node_id = 'h001M01TK06') AND NOT coalesce(b.node_name, '') STARTS WITH 'Ambiguous' AND NOT (b.node_id CONTAINS 'LI13' OR b.node_id CONTAINS 'LI14')
WITH COLLECT({src_node:a, rel: r, dst_node: b}) AS c_r_dep,
COLLECT(DISTINCT b) AS c_r_list
OPTIONAL MATCH (a)-[r:is_an_instance_of]-(b)
WHERE (a.node_id = 'h001M01TP03' OR a.node_id = 'h001M01TK06') AND NOT coalesce(b.node_name, '') STARTS WITH 'Ambiguous'
WITH c_r_dep, c_r_list,
COLLECT({src_node:a, rel: r, dst_node: b}) AS c_r_child,
COLLECT(DISTINCT b) AS c_child_list
OPTIONAL MATCH (a)-[r]-(b)
WHERE a IN c_child_list AND b IN c_child_list
WITH c_r_dep, c_r_child,c_r_list,
COLLECT({src_node:a, rel: r, dst_node: b}) AS c_child_r_c_child,
COLLECT(DISTINCT b) AS c_child_list
OPTIONAL MATCH (a)-[r:is_an_instance_of]-(b)
WHERE a in c_r_list AND NOT coalesce(b.node_name, '') STARTS WITH 'Ambiguous'
WITH c_r_dep, c_r_list, c_r_child,c_child_list,c_child_r_c_child,
COLLECT({src_node:a, rel: r, dst_node: b}) AS dep_r_child,
COLLECT(DISTINCT b) AS r_child_list
OPTIONAL MATCH (a)-[r]-(b)
WHERE a in c_child_list AND b in r_child_list
WITH c_r_dep, c_r_child,dep_r_child, c_child_list,c_child_r_c_child,
COLLECT({src_node:a, rel: r, dst_node: b}) AS c_child_r_dep_child
OPTIONAL MATCH (a)-[r]-(b)
WHERE a.node_id = 'h001M01TP07' AND b.node_id = 'h001M01TK10'
WITH c_r_dep, c_r_child,dep_r_child, c_child_r_dep_child,c_child_list,c_child_r_c_child,
COLLECT({src_node:a, rel: r, dst_node: b}) AS c_r_c
// ========== 1. 清洗：去掉 rel 为 null 的占位 ==========
WITH [x IN c_r_dep     WHERE x.rel IS NOT NULL] AS c_r_dep,
     [x IN c_r_child WHERE x.rel IS NOT NULL] AS c_r_child,
     [x IN dep_r_child WHERE x.rel IS NOT NULL] AS dep_r_child,
     [x IN c_child_r_dep_child  WHERE x.rel IS NOT NULL] AS c_child_r_dep_child,
     [x IN c_r_c       WHERE x.rel IS NOT NULL] AS c_r_c,
     [x IN c_child_r_c_child       WHERE x.rel IS NOT NULL] AS c_child_r_c_child
// ========== 2. 合并所有输出边 = 输出子图 ==========
WITH c_r_dep, c_r_child, dep_r_child, c_child_r_dep_child, c_r_c,c_child_r_c_child,
     c_r_dep + c_r_child + dep_r_child + c_child_r_dep_child + c_r_c + c_child_r_c_child AS all_edges
// ========== 3. 在子图内统计每个节点的度数（出入度之和）==========
UNWIND all_edges AS e
UNWIND [e.src_node, e.dst_node] AS n
WITH c_r_dep, c_r_child, dep_r_child, c_child_r_dep_child, c_r_c, c_child_r_c_child,
     elementId(n) AS nid, count(*) AS sub_deg
WITH c_r_dep, c_r_child, dep_r_child, c_child_r_dep_child, c_r_c,c_child_r_c_child,
     collect([nid, sub_deg]) AS pairs
WITH c_r_dep, c_r_child, dep_r_child, c_child_r_dep_child, c_r_c,c_child_r_c_child,
     apoc.map.fromPairs(pairs) AS deg_map
// ========== 4. 用子图度数过滤（≠ 1）==========
RETURN
  [x IN c_r_c       WHERE deg_map[elementId(x.src_node)] &lt;&gt; 1
                   AND   deg_map[elementId(x.dst_node)] &lt;&gt; 1] AS c_r_c,
  [x IN c_r_dep     WHERE deg_map[elementId(x.src_node)] &lt;&gt; 1
                   AND   deg_map[elementId(x.dst_node)] &lt;&gt; 1] AS c_r_dep,
  [x IN c_r_child     WHERE deg_map[elementId(x.src_node)] &lt;&gt; 1
                   AND   deg_map[elementId(x.dst_node)] &lt;&gt; 1] AS c_r_child,
  [x IN dep_r_child WHERE deg_map[elementId(x.src_node)] &lt;&gt; 1
                   AND   deg_map[elementId(x.dst_node)] &lt;&gt; 1] AS dep_r_child,
  [x IN c_child_r_c_child       WHERE deg_map[elementId(x.src_node)] &lt;&gt; 1
                   AND   deg_map[elementId(x.dst_node)] &lt;&gt; 1] AS c_child_r_c_child,
  [x IN c_child_r_dep_child  WHERE deg_map[elementId(x.src_node)] &lt;&gt; 1
                   AND   deg_map[elementId(x.dst_node)] &lt;&gt; 1] AS c_child_r_dep_child;
Mandatory analytical procedure
1. The subgraph structure consists of layer 0 (node ID prefix h001) and layer 1 (node ID prefix s00), with the relationship is_an_instance_of connecting nodes between layer 0 and layer 1.
2. Examine the environmental dependencies, organizational dependencies, and limitation of each node in layer 0, treating them as candidate insights, and identify the corresponding child nodes’ `evidence_statement` attributes as supporting evidence for further analysis.
3. Summarize external resource dependencies from environmental dependencies; identify internal resource and capability dependencies, as well as organizational cultural dependencies, from organizational dependencies. 
4. Supplement and consolidate the above dependencies based on the constraints.
***Output Structure***
Pattern Name: &lt;TP03, TK06&gt;  &lt;please name it&gt;
Pattern Type: Cross-sector TP–TK convergence
Technology-enable Practice Definition: Uses technologies like VR, AR, MR, CAVE, or hybrid XR environments to support embodied rehearsal, contextual guidance, historical interpretation, hazard recognition, and situated knowledge transfer.
Quality Assessment: &lt;please assess the pattern in 100 word&gt;
Mechanism-based transfer considerations: &lt;Please analyze this pattern from aspects such as the basic mechanism, potential transfer scenarios, resource and environmental dependencies, organizational culture dependencies, and other limitations, and provide a 500-word explanation.&gt;
</t>
  </si>
  <si>
    <t>Context-bounded TP–TK convergence</t>
  </si>
  <si>
    <t>A comparable TP is associated with comparable TK forms within a sector pair or a particular sector configuration, but this convergence is not observed across all three sectors.</t>
  </si>
  <si>
    <r>
      <rPr>
        <sz val="11"/>
        <color theme="1"/>
        <rFont val="Calibri"/>
        <charset val="134"/>
        <scheme val="minor"/>
      </rPr>
      <t xml:space="preserve">Identifies </t>
    </r>
    <r>
      <rPr>
        <b/>
        <sz val="11"/>
        <color theme="1"/>
        <rFont val="Calibri"/>
        <charset val="134"/>
        <scheme val="minor"/>
      </rPr>
      <t>bounded commonality</t>
    </r>
    <r>
      <rPr>
        <sz val="11"/>
        <color theme="1"/>
        <rFont val="Calibri"/>
        <charset val="134"/>
        <scheme val="minor"/>
      </rPr>
      <t>, showing that some retention configurations may be shared between particular contexts rather than being broadly cross-sectoral. This helps establish the boundary conditions of apparent generality.</t>
    </r>
  </si>
  <si>
    <t>MATCH (tp:TechnologyenablePractice)-[r]-(b:TacitKnowledge|EnvironmentalDependency|OrganizationalDependency|Limitation) 
WHERE tp.node_id = 'h001M01TP15' AND NOT coalesce(b.node_name, '') STARTS WITH 'Ambiguous'
WITH tp, COLLECT({src_node:tp, rel: r, dst_node: b}) AS tpBy,
COLLECT(DISTINCT b) AS tp_r_list
OPTIONAL MATCH (tp)-[r:is_an_instance_of]-(b)
WHERE NOT coalesce(b.node_name, '') STARTS WITH 'Ambiguous'
WITH tp, tpBy,tp_r_list,
COLLECT({src_node:tp, rel: r, dst_node: b}) AS tp_child_By,
COLLECT(DISTINCT b) AS tp_child_list
OPTIONAL MATCH (a)-[r:is_an_instance_of]-(b)
WHERE a in tp_r_list AND NOT coalesce(b.node_name, '') STARTS WITH 'Ambiguous'
WITH tp, tpBy,tp_r_list,tp_child_By,tp_child_list,
COLLECT({src_node:a, rel: r, dst_node: b}) AS tp_r_child_by,
COLLECT(DISTINCT b) AS tp_r_child_list
OPTIONAL MATCH (a)-[r]-(b)
WHERE a in tp_child_list AND b in tp_r_child_list
WITH tp, tpBy,tp_child_By,tp_r_child_by,
COLLECT({src_node:a, rel: r, dst_node: b}) AS childBy
RETURN tp, tpBy,tp_child_By,childBy,tp_r_child_by</t>
  </si>
  <si>
    <t xml:space="preserve">You are an expert academic scholar with interdisciplinary expertise in knowledge management, emerging technologies, organizational capabilities, and innovation.
***Task***
Analyze the knowledge graphs extracted from multiple cases and conduct a qualitative analysis to assess whether this sub-group can validate that TP15 belongs to this pattern type.
- Name: Context-bounded TP–TK convergence
- Definition:  A comparable TP is associated with comparable TK forms within a sector pair or a particular sector configuration, but this convergence is not observed across all three sectors.
- Purpose: Identifies bounded commonality, showing that some retention configurations may be shared between particular contexts rather than being broadly cross-sector. This helps establish the boundary conditions of apparent generality.
***Input data***
Use [$analyze-neo4j-knowledge-graph] to execute the following Cypher query:
MATCH (tp:TechnologyenablePractice)-[r]-(b:TacitKnowledge|EnvironmentalDependency|OrganizationalDependency|Limitation)
WHERE tp.node_id = 'h001M01TP15' AND NOT coalesce(b.node_name, '') STARTS WITH 'Ambiguous'
WITH tp, COLLECT({src_node:tp, rel: r, dst_node: b}) AS tpBy,
COLLECT(DISTINCT b) AS tp_r_list
OPTIONAL MATCH (tp)-[r:is_an_instance_of]-(b)
WHERE NOT coalesce(b.node_name, '') STARTS WITH 'Ambiguous'
WITH tp, tpBy,tp_r_list,
COLLECT({src_node:tp, rel: r, dst_node: b}) AS tp_child_By,
COLLECT(DISTINCT b) AS tp_child_list
OPTIONAL MATCH (a)-[r:is_an_instance_of]-(b)
WHERE a in tp_r_list AND NOT coalesce(b.node_name, '') STARTS WITH 'Ambiguous'
WITH tp, tpBy,tp_r_list,tp_child_By,tp_child_list,
COLLECT({src_node:a, rel: r, dst_node: b}) AS tp_r_child_by,
COLLECT(DISTINCT b) AS tp_r_child_list
OPTIONAL MATCH (a)-[r]-(b)
WHERE a in tp_child_list AND b in tp_r_child_list
WITH tp, tpBy,tp_child_By,tp_r_child_by,
COLLECT({src_node:a, rel: r, dst_node: b}) AS childBy
RETURN tp, tpBy,tp_child_By,childBy,tp_r_child_by
***Output Structure***
Pattern Name: TP15 Distributed-Ledger-enabled Transaction Assurance and Traceability
Pattern Type: Context-bounded TP–TK convergence
Technology-enable Practice Definition: Uses blockchain or distributed-ledger technologies to create verifiable transaction records, strengthen provenance and supply-chain traceability, validate products, and automate trusted exchanges through smart contracts or related mechanisms.
Evidence Chain:&lt;draw a svg figure to exhibit the evidence from the center TP10 to industry-level to case-levle, mark the tacit knowledge and technology-enable practice in each node&gt;  
Inspiring Cues:
</t>
  </si>
  <si>
    <t>MATCH (a)-[r]-(b:EnvironmentalDependency|OrganizationalDependency|Limitation)
WHERE (a.node_id = 'h001M01TP07' OR a.node_id = 'h001M01TK10') AND NOT coalesce(b.node_name, '') STARTS WITH 'Ambiguous' AND NOT (b.node_id CONTAINS 'LI13' OR b.node_id CONTAINS 'LI14')
WITH COLLECT({src_node:a, rel: r, dst_node: b}) AS c_r_dep,
COLLECT(DISTINCT b) AS c_r_list
OPTIONAL MATCH (a)-[r:is_an_instance_of]-(b)
WHERE (a.node_id = 'h001M01TP07' OR a.node_id = 'h001M01TK10') AND NOT coalesce(b.node_name, '') STARTS WITH 'Ambiguous'
WITH c_r_dep, c_r_list,
COLLECT({src_node:a, rel: r, dst_node: b}) AS c_r_child,
COLLECT(DISTINCT b) AS c_child_list
OPTIONAL MATCH (a)-[r]-(b)
WHERE a IN c_child_list AND b IN c_child_list
WITH c_r_dep, c_r_child,c_r_list,
COLLECT({src_node:a, rel: r, dst_node: b}) AS c_child_r_c_child,
COLLECT(DISTINCT b) AS c_child_list
OPTIONAL MATCH (a)-[r:is_an_instance_of]-(b)
WHERE a in c_r_list AND NOT coalesce(b.node_name, '') STARTS WITH 'Ambiguous'
WITH c_r_dep, c_r_list, c_r_child,c_child_list,c_child_r_c_child,
COLLECT({src_node:a, rel: r, dst_node: b}) AS dep_r_child,
COLLECT(DISTINCT b) AS r_child_list
OPTIONAL MATCH (a)-[r]-(b)
WHERE a in c_child_list AND b in r_child_list
WITH c_r_dep, c_r_child,dep_r_child, c_child_list,c_child_r_c_child,
COLLECT({src_node:a, rel: r, dst_node: b}) AS c_child_r_dep_child
OPTIONAL MATCH (a)-[r]-(b)
WHERE a.node_id = 'h001M01TP07' AND b.node_id = 'h001M01TK10'
WITH c_r_dep, c_r_child,dep_r_child, c_child_r_dep_child,c_child_list,c_child_r_c_child,
COLLECT({src_node:a, rel: r, dst_node: b}) AS c_r_c
// ========== 1. 清洗：去掉 rel 为 null 的占位 ==========
WITH [x IN c_r_dep     WHERE x.rel IS NOT NULL] AS c_r_dep,
     [x IN c_r_child WHERE x.rel IS NOT NULL] AS c_r_child,
     [x IN dep_r_child WHERE x.rel IS NOT NULL] AS dep_r_child,
     [x IN c_child_r_dep_child  WHERE x.rel IS NOT NULL] AS c_child_r_dep_child,
     [x IN c_r_c       WHERE x.rel IS NOT NULL] AS c_r_c,
     [x IN c_child_r_c_child       WHERE x.rel IS NOT NULL] AS c_child_r_c_child
// ========== 2. 合并所有输出边 = 输出子图 ==========
WITH c_r_dep, c_r_child, dep_r_child, c_child_r_dep_child, c_r_c,c_child_r_c_child,
     c_r_dep + c_r_child + dep_r_child + c_child_r_dep_child + c_r_c + c_child_r_c_child AS all_edges
// ========== 3. 在子图内统计每个节点的度数（出入度之和）==========
UNWIND all_edges AS e
UNWIND [e.src_node, e.dst_node] AS n
WITH c_r_dep, c_r_child, dep_r_child, c_child_r_dep_child, c_r_c, c_child_r_c_child,
     elementId(n) AS nid, count(*) AS sub_deg
WITH c_r_dep, c_r_child, dep_r_child, c_child_r_dep_child, c_r_c,c_child_r_c_child,
     collect([nid, sub_deg]) AS pairs
WITH c_r_dep, c_r_child, dep_r_child, c_child_r_dep_child, c_r_c,c_child_r_c_child,
     apoc.map.fromPairs(pairs) AS deg_map
// ========== 4. 用子图度数过滤（≠ 1）==========
RETURN
  [x IN c_r_c       WHERE deg_map[elementId(x.src_node)] &lt;&gt; 1
                   AND   deg_map[elementId(x.dst_node)] &lt;&gt; 1] AS c_r_c,
  [x IN c_r_dep     WHERE deg_map[elementId(x.src_node)] &lt;&gt; 1
                   AND   deg_map[elementId(x.dst_node)] &lt;&gt; 1] AS c_r_dep,
  [x IN c_r_child     WHERE deg_map[elementId(x.src_node)] &lt;&gt; 1
                   AND   deg_map[elementId(x.dst_node)] &lt;&gt; 1] AS c_r_child,
  [x IN dep_r_child WHERE deg_map[elementId(x.src_node)] &lt;&gt; 1
                   AND   deg_map[elementId(x.dst_node)] &lt;&gt; 1] AS dep_r_child,
  [x IN c_child_r_c_child       WHERE deg_map[elementId(x.src_node)] &lt;&gt; 1
                   AND   deg_map[elementId(x.dst_node)] &lt;&gt; 1] AS c_child_r_c_child,
  [x IN c_child_r_dep_child  WHERE deg_map[elementId(x.src_node)] &lt;&gt; 1
                   AND   deg_map[elementId(x.dst_node)] &lt;&gt; 1] AS c_child_r_dep_child;</t>
  </si>
  <si>
    <t>You are an expert academic scholar with interdisciplinary expertise in knowledge management, emerging technologies, organizational capabilities, and innovation.
***Task*** Analyze the knowledge graphs extracted from multiple cases and conduct a qualitative analysis to assess whether this sub-group can validate that &lt;TP07, TK10&gt; belongs to this pattern type. During the analytical process, all claims you generate should be supported by the evidence in the knowledge graphs. - Name: Context-bounded TP–TK convergence - Definition: A comparable TP is associated with comparable TK forms within a sector pair or a particular sector configuration, but this convergence is not observed across all three sectors. - Purpose: Identifies bounded commonality, showing that some retention configurations may be shared between particular contexts rather than being broadly cross-sector. This helps establish the boundary conditions of apparent generality.
***Input data*** Use [[$analyze-neo4j-knowledge-graph](/Users/meimei/.codex/skills/analyze-neo4j-knowledge-graph/SKILL.md)] to execute the following Cypher query: MATCH (a)-[r]-(b:EnvironmentalDependency|OrganizationalDependency|Limitation)
WHERE (a.node_id = 'h001M01TP07' OR a.node_id = 'h001M01TK10') AND NOT coalesce(b.node_name, '') STARTS WITH 'Ambiguous' AND NOT (b.node_id CONTAINS 'LI13' OR b.node_id CONTAINS 'LI14')
WITH COLLECT({src_node:a, rel: r, dst_node: b}) AS c_r_dep,
COLLECT(DISTINCT b) AS c_r_list
OPTIONAL MATCH (a)-[r:is_an_instance_of]-(b)
WHERE (a.node_id = 'h001M01TP07' OR a.node_id = 'h001M01TK10') AND NOT coalesce(b.node_name, '') STARTS WITH 'Ambiguous'
WITH c_r_dep, c_r_list,
COLLECT({src_node:a, rel: r, dst_node: b}) AS c_r_child,
COLLECT(DISTINCT b) AS c_child_list
OPTIONAL MATCH (a)-[r]-(b)
WHERE a IN c_child_list AND b IN c_child_list
WITH c_r_dep, c_r_child,c_r_list,
COLLECT({src_node:a, rel: r, dst_node: b}) AS c_child_r_c_child,
COLLECT(DISTINCT b) AS c_child_list
OPTIONAL MATCH (a)-[r:is_an_instance_of]-(b)
WHERE a in c_r_list AND NOT coalesce(b.node_name, '') STARTS WITH 'Ambiguous'
WITH c_r_dep, c_r_list, c_r_child,c_child_list,c_child_r_c_child,
COLLECT({src_node:a, rel: r, dst_node: b}) AS dep_r_child,
COLLECT(DISTINCT b) AS r_child_list
OPTIONAL MATCH (a)-[r]-(b)
WHERE a in c_child_list AND b in r_child_list
WITH c_r_dep, c_r_child,dep_r_child, c_child_list,c_child_r_c_child,
COLLECT({src_node:a, rel: r, dst_node: b}) AS c_child_r_dep_child
OPTIONAL MATCH (a)-[r]-(b)
WHERE a.node_id = 'h001M01TP07' AND b.node_id = 'h001M01TK10'
WITH c_r_dep, c_r_child,dep_r_child, c_child_r_dep_child,c_child_list,c_child_r_c_child,
COLLECT({src_node:a, rel: r, dst_node: b}) AS c_r_c
// ========== 1. 清洗：去掉 rel 为 null 的占位 ==========
WITH [x IN c_r_dep     WHERE x.rel IS NOT NULL] AS c_r_dep,
     [x IN c_r_child WHERE x.rel IS NOT NULL] AS c_r_child,
     [x IN dep_r_child WHERE x.rel IS NOT NULL] AS dep_r_child,
     [x IN c_child_r_dep_child  WHERE x.rel IS NOT NULL] AS c_child_r_dep_child,
     [x IN c_r_c       WHERE x.rel IS NOT NULL] AS c_r_c,
     [x IN c_child_r_c_child       WHERE x.rel IS NOT NULL] AS c_child_r_c_child
// ========== 2. 合并所有输出边 = 输出子图 ==========
WITH c_r_dep, c_r_child, dep_r_child, c_child_r_dep_child, c_r_c,c_child_r_c_child,
     c_r_dep + c_r_child + dep_r_child + c_child_r_dep_child + c_r_c + c_child_r_c_child AS all_edges
// ========== 3. 在子图内统计每个节点的度数（出入度之和）==========
UNWIND all_edges AS e
UNWIND [e.src_node, e.dst_node] AS n
WITH c_r_dep, c_r_child, dep_r_child, c_child_r_dep_child, c_r_c, c_child_r_c_child,
     elementId(n) AS nid, count(*) AS sub_deg
WITH c_r_dep, c_r_child, dep_r_child, c_child_r_dep_child, c_r_c,c_child_r_c_child,
     collect([nid, sub_deg]) AS pairs
WITH c_r_dep, c_r_child, dep_r_child, c_child_r_dep_child, c_r_c,c_child_r_c_child,
     apoc.map.fromPairs(pairs) AS deg_map
// ========== 4. 用子图度数过滤（≠ 1）==========
RETURN
  [x IN c_r_c       WHERE deg_map[elementId(x.src_node)] &lt;&gt; 1
                   AND   deg_map[elementId(x.dst_node)] &lt;&gt; 1] AS c_r_c,
  [x IN c_r_dep     WHERE deg_map[elementId(x.src_node)] &lt;&gt; 1
                   AND   deg_map[elementId(x.dst_node)] &lt;&gt; 1] AS c_r_dep,
  [x IN c_r_child     WHERE deg_map[elementId(x.src_node)] &lt;&gt; 1
                   AND   deg_map[elementId(x.dst_node)] &lt;&gt; 1] AS c_r_child,
  [x IN dep_r_child WHERE deg_map[elementId(x.src_node)] &lt;&gt; 1
                   AND   deg_map[elementId(x.dst_node)] &lt;&gt; 1] AS dep_r_child,
  [x IN c_child_r_c_child       WHERE deg_map[elementId(x.src_node)] &lt;&gt; 1
                   AND   deg_map[elementId(x.dst_node)] &lt;&gt; 1] AS c_child_r_c_child,
  [x IN c_child_r_dep_child  WHERE deg_map[elementId(x.src_node)] &lt;&gt; 1
                   AND   deg_map[elementId(x.dst_node)] &lt;&gt; 1] AS c_child_r_dep_child;
***Mandatory analytical procedure***
1. The subgraph structure consists of layer 0 (node ID prefix h001) and layer 1 (node ID prefix s00), with the relationship is_an_instance_of connecting nodes between layer 0 and layer 1.
2. Examine the environmental dependencies, organizational dependencies, and limitation of each node in layer 0, treating them as candidate insights, and identify the corresponding child nodes’ `evidence_statement` attributes as supporting evidence for further analysis.
3. Summarize external resource dependencies from environmental dependencies; identify internal resource and capability dependencies, as well as organizational cultural dependencies, from organizational dependencies. 
4. Supplement and consolidate the above dependencies based on the constraints.
***Output Structure*** Pattern Name: &lt;TP07, TK10&gt; &lt;please name it&gt; Pattern Type: Context-bounded TP–TK convergence Technology-enable Practice Definition: Uses AI, machine learning, NLP, statistical learning, or rule-based algorithms to derive classifications, forecasts, detected patterns, and predicted conditions from data.
Quality Assessment: &lt;please assess the pattern in 100 word&gt;
Mechanism-based transfer considerations: &lt;Please analyze this pattern from aspects such as the basic mechanism, potential transfer scenarios, resource and environmental dependencies, organizational culture dependencies, and other limitations, and provide a 500-word explanation.&gt;</t>
  </si>
  <si>
    <t>TK variation across TPs</t>
  </si>
  <si>
    <t>A comparable TK form is associated with different TPs across the selected evidence.</t>
  </si>
  <si>
    <r>
      <rPr>
        <sz val="11"/>
        <color theme="1"/>
        <rFont val="Calibri"/>
        <charset val="134"/>
        <scheme val="minor"/>
      </rPr>
      <t xml:space="preserve">Identifies </t>
    </r>
    <r>
      <rPr>
        <b/>
        <sz val="11"/>
        <color theme="1"/>
        <rFont val="Calibri"/>
        <charset val="134"/>
        <scheme val="minor"/>
      </rPr>
      <t>alternative practice pathways</t>
    </r>
    <r>
      <rPr>
        <sz val="11"/>
        <color theme="1"/>
        <rFont val="Calibri"/>
        <charset val="134"/>
        <scheme val="minor"/>
      </rPr>
      <t xml:space="preserve"> through which a similar tacit-knowledge retention target may be addressed, revealing that a knowledge-retention need is not necessarily tied to one technological practice.</t>
    </r>
  </si>
  <si>
    <t>MATCH (tk:TacitKnowledge)-[r]-(b:TechnologyenablePractice|Limitation) 
WHERE tk.node_id = 'h001M01TK05' AND NOT coalesce(b.node_name, '') STARTS WITH 'Ambiguous'
WITH tk, COLLECT({src_node:tk, rel: r, dst_node: b}) AS tpBy,
COLLECT(DISTINCT b) AS tp_list
OPTIONAL MATCH (tp)-[r]-(b:EnvironmentalDependency|Limitation|OrganizationalDependency) 
WHERE tp in tp_list AND NOT coalesce(b.node_name, '') STARTS WITH 'Ambiguous'
WITH tk, tpBy, tp_list, 
COLLECT({src_node:tp, rel: r, dst_node: b}) AS depBy,
COLLECT(DISTINCT b) AS dep_list
OPTIONAL MATCH (tk)-[r:is_an_instance_of]-(b)
WHERE NOT coalesce(b.node_name, '') STARTS WITH 'Ambiguous'
WITH tk, tpBy,tp_list,depBy,dep_list,
COLLECT({src_node:tk, rel: r, dst_node: b}) AS tk_child_By,
COLLECT(DISTINCT b) AS tk_child_list
OPTIONAL MATCH (a)-[r:is_an_instance_of]-(b)
WHERE a in tp_list AND NOT coalesce(b.node_name, '') STARTS WITH 'Ambiguous'
WITH tk, tpBy, tk_child_By,depBy,dep_list,tp_list,tk_child_list,
COLLECT({src_node:a, rel: r, dst_node: b}) AS tp_child_by,
COLLECT(DISTINCT b) AS tp_child_list
OPTIONAL MATCH (a)-[r:is_an_instance_of]-(b)
WHERE a in dep_list AND NOT coalesce(b.node_name, '') STARTS WITH 'Ambiguous'
WITH tk, tpBy, tk_child_By,depBy,dep_list,tp_list,tk_child_list,tp_child_by,tp_child_list,
COLLECT({src_node:a, rel: r, dst_node: b}) AS dep_child_by,
COLLECT(DISTINCT b) AS dep_child_list
OPTIONAL MATCH (a)-[r]-(b)
WHERE a in tp_child_list AND b in tk_child_list
WITH tk, tpBy, tk_child_By,tp_child_by,dep_child_by,dep_child_list,depBy,
COLLECT({src_node:a, rel: r, dst_node: b}) AS childBy,
COLLECT(DISTINCT a) AS tp_child_list,
COLLECT(DISTINCT b) AS tk_child_list
OPTIONAL MATCH (a)-[r]-(b)
WHERE a in tp_child_list AND b in dep_child_list
WITH tk, tpBy, tk_child_By,tp_child_by,dep_child_by,childBy,depBy,
COLLECT({src_node:a, rel: r, dst_node: b}) AS dep_childBy
RETURN tk, tpBy,tk_child_By,tp_child_by,childBy,dep_childBy,depBy</t>
  </si>
  <si>
    <t>You are an expert academic scholar with interdisciplinary expertise in knowledge management, emerging technologies, organizational capabilities, and innovation.
***Task***
Analyze the knowledge graphs extracted from multiple cases and conduct a qualitative analysis to assess whether this sub-group can validate that TK05 belongs to this pattern type.
- Name: TK variation across TPs
- Definition: A comparable TK form is associated with different TPs across the selected evidence. 
- Purpose: Identifies alternative practice pathways through which a similar tacit-knowledge retention target may be addressed, revealing that a knowledge-retention need is not necessarily tied to one technological practice.
Additional Assumptions:
- TK05 with TP Convergence &lt;TP03;TP09;TP10;TP12&gt;
- TK05 with TP Divergence &lt;TP01;TP04;TP06;TP07;TP13;TP16&gt;
***Input data***
Use [$analyze-neo4j-knowledge-graph] to execute the following Cypher query:MATCH (tk:TacitKnowledge)-[r]-(b:TechnologyenablePractice|Limitation) 
MATCH (tk:TacitKnowledge)-[r]-(b:TechnologyenablePractice|Limitation) 
WHERE tk.node_id = 'h001M01TK05' AND NOT coalesce(b.node_name, '') STARTS WITH 'Ambiguous'
WITH tk, COLLECT({src_node:tk, rel: r, dst_node: b}) AS tpBy,
COLLECT(DISTINCT b) AS tp_list
OPTIONAL MATCH (tp)-[r]-(b:EnvironmentalDependency|Limitation|OrganizationalDependency) 
WHERE tp in tp_list AND NOT coalesce(b.node_name, '') STARTS WITH 'Ambiguous'
WITH tk, tpBy, tp_list, 
COLLECT({src_node:tp, rel: r, dst_node: b}) AS depBy,
COLLECT(DISTINCT b) AS dep_list
OPTIONAL MATCH (tk)-[r:is_an_instance_of]-(b)
WHERE NOT coalesce(b.node_name, '') STARTS WITH 'Ambiguous'
WITH tk, tpBy,tp_list,depBy,dep_list,
COLLECT({src_node:tk, rel: r, dst_node: b}) AS tk_child_By,
COLLECT(DISTINCT b) AS tk_child_list
OPTIONAL MATCH (a)-[r:is_an_instance_of]-(b)
WHERE a in tp_list AND NOT coalesce(b.node_name, '') STARTS WITH 'Ambiguous'
WITH tk, tpBy, tk_child_By,depBy,dep_list,tp_list,tk_child_list,
COLLECT({src_node:a, rel: r, dst_node: b}) AS tp_child_by,
COLLECT(DISTINCT b) AS tp_child_list
OPTIONAL MATCH (a)-[r:is_an_instance_of]-(b)
WHERE a in dep_list AND NOT coalesce(b.node_name, '') STARTS WITH 'Ambiguous'
WITH tk, tpBy, tk_child_By,depBy,dep_list,tp_list,tk_child_list,tp_child_by,tp_child_list,
COLLECT({src_node:a, rel: r, dst_node: b}) AS dep_child_by,
COLLECT(DISTINCT b) AS dep_child_list
OPTIONAL MATCH (a)-[r]-(b)
WHERE a in tp_child_list AND b in tk_child_list
WITH tk, tpBy, tk_child_By,tp_child_by,dep_child_by,dep_child_list,depBy,
COLLECT({src_node:a, rel: r, dst_node: b}) AS childBy,
COLLECT(DISTINCT a) AS tp_child_list,
COLLECT(DISTINCT b) AS tk_child_list
OPTIONAL MATCH (a)-[r]-(b)
WHERE a in tp_child_list AND b in dep_child_list
WITH tk, tpBy, tk_child_By,tp_child_by,dep_child_by,childBy,depBy,
COLLECT({src_node:a, rel: r, dst_node: b}) AS dep_childBy
RETURN tk, tpBy,tk_child_By,tp_child_by,childBy,dep_childBy,depBy</t>
  </si>
  <si>
    <t>Transfer Preposition</t>
  </si>
  <si>
    <t xml:space="preserve">You are an expert academic scholar with interdisciplinary expertise in knowledge management, emerging technologies, organizational capabilities, and innovation.
***Task***
Analyze the knowledge graphs extracted from multiple cases and conduct the transfer proposition analysis to answer such questions 
How Health Services Inspires Manufacturing？ introduce 1-2 patterns in 200 words
How Manufacturing Inspires Construction？ introduce 1-2 patterns in 200 words
How Construction Inspires Health Services？introduce 1-2 patterns in 200 words
The candidate patterns：
&lt;TP01, TK06&gt;
&lt;TP03, TK07&gt;
&lt;TP03, TK08&gt;
&lt;TP03, TK10&gt;
&lt;TP07, TK10&gt;
&lt;TP08, TK12&gt;
&lt;TP09, TK05&gt;
&lt;TP10, TK04&gt;
&lt;TP10, TK05&gt;
&lt;TP11, TK04&gt;
&lt;TP12, TK05&gt;
&lt;TP13, TK10&gt;
***Input data***
Use [$analyze-neo4j-knowledge-graph] to execute the following Cypher query:MATCH (tk:TacitKnowledge)-[r]-(b:TechnologyenablePractice|Limitation) 
MATCH (a:TacitKnowledge|TechnologyenablePractice|TraditionalHumancentralPractice|EnvironmentalDependency|OrganizationalDependency|Limitation)-[r]-(b:TacitKnowledge|TechnologyenablePractice|TraditionalHumancentralPractice|EnvironmentalDependency|OrganizationalDependency|Limitation)
WHERE NOT coalesce(a.node_name, '') STARTS WITH 'Ambiguous' AND NOT coalesce(b.node_name, '') STARTS WITH 'Ambiguous'
WITH COLLECT({src_node:a, rel: r, dst_node: b}) AS a_b_By,
COLLECT(DISTINCT a) AS a_list,
COLLECT(DISTINCT b) AS b_list
OPTIONAL MATCH (a)-[r:is_an_instance_of]-(b)
WHERE a IN a_list AND NOT coalesce(b.node_name, '') STARTS WITH 'Ambiguous'
WITH a_b_By, a_list, b_list,
COLLECT({src_node:a, rel: r, dst_node: b}) AS a_child_By,
COLLECT(DISTINCT b) AS a_child_list
OPTIONAL MATCH (a)-[r:is_an_instance_of]-(b)
WHERE a IN b_list AND NOT coalesce(b.node_name, '') STARTS WITH 'Ambiguous'
WITH a_b_By, a_list, b_list,a_child_By,a_child_list,
COLLECT({src_node:a, rel: r, dst_node: b}) AS b_child_By,
COLLECT(DISTINCT b) AS b_child_list
OPTIONAL MATCH (a)-[r]-(b)
WHERE a in a_child_list AND b in b_child_list
WITH a_b_By, a_child_By,a_child_list,b_child_By,
COLLECT({src_node:a, rel: r, dst_node: b}) AS a_b_childBy
RETURN a_b_By, a_child_By,a_child_list,b_child_By,a_b_childBy
***Output Structure***
How Health Services Inspires Manufacturing
How Manufacturing Inspires Construction
How Construction Inspires Health Services
</t>
  </si>
  <si>
    <t>Configuration Variation</t>
  </si>
  <si>
    <t>MATCH (a:TacitKnowledge|TechnologyenablePractice|TraditionalHumancentralPractice|EnvironmentalDependency|OrganizationalDependency|Limitation)-[r]-(b:TacitKnowledge|TechnologyenablePractice|TraditionalHumancentralPractice|EnvironmentalDependency|OrganizationalDependency|Limitation)
WHERE NOT coalesce(a.node_name, '') STARTS WITH 'Ambiguous' AND NOT coalesce(b.node_name, '') STARTS WITH 'Ambiguous'
WITH COLLECT({src_node:a, rel: r, dst_node: b}) AS a_b_By,
COLLECT(DISTINCT a) AS a_list,
COLLECT(DISTINCT b) AS b_list
OPTIONAL MATCH (a)-[r:is_an_instance_of]-(b)
WHERE a IN a_list AND NOT coalesce(b.node_name, '') STARTS WITH 'Ambiguous'
WITH a_b_By, a_list, b_list,
COLLECT({src_node:a, rel: r, dst_node: b}) AS a_child_By,
COLLECT(DISTINCT b) AS a_child_list
OPTIONAL MATCH (a)-[r:is_an_instance_of]-(b)
WHERE a IN b_list AND NOT coalesce(b.node_name, '') STARTS WITH 'Ambiguous'
WITH a_b_By, a_list, b_list,a_child_By,a_child_list,
COLLECT({src_node:a, rel: r, dst_node: b}) AS b_child_By,
COLLECT(DISTINCT b) AS b_child_list
OPTIONAL MATCH (a)-[r]-(b)
WHERE a in a_child_list AND b in b_child_list
WITH a_b_By, a_child_By,a_child_list,b_child_By,
COLLECT({src_node:a, rel: r, dst_node: b}) AS a_b_childBy
RETURN a_b_By, a_child_By,a_child_list,b_child_By,a_b_childBy</t>
  </si>
  <si>
    <t>Pattern</t>
  </si>
  <si>
    <t>Recommended name</t>
  </si>
  <si>
    <t>Pattern Type</t>
  </si>
  <si>
    <t>⟨TP03, TK05⟩</t>
  </si>
  <si>
    <t>XR-Mediated Embodied Skill Capture and Assessment</t>
  </si>
  <si>
    <t>⟨TP03, TK06⟩</t>
  </si>
  <si>
    <t>XR-Situated Perceptual Recognition Convergence</t>
  </si>
  <si>
    <t>⟨TP06, TK06⟩</t>
  </si>
  <si>
    <t>Sensor-Based Perceptual Expertise Capture</t>
  </si>
  <si>
    <t>⟨TP06, TK07⟩</t>
  </si>
  <si>
    <t>Wearable Capture of Postural and Spatial Control</t>
  </si>
  <si>
    <t>⟨TP07, TK06⟩</t>
  </si>
  <si>
    <t>Algorithmic Extraction of Perceptual Expertise</t>
  </si>
  <si>
    <t>⟨TP01, TK06⟩</t>
  </si>
  <si>
    <t>Model-Based Spatial Recognition and Assessment</t>
  </si>
  <si>
    <t>⟨TP03, TK07⟩</t>
  </si>
  <si>
    <t>XR Capture of Embodied Spatial Control</t>
  </si>
  <si>
    <t>⟨TP03, TK08⟩</t>
  </si>
  <si>
    <t>XR-Rehearsed Rapid Hazard Response</t>
  </si>
  <si>
    <t>⟨TP03, TK10⟩</t>
  </si>
  <si>
    <t>XR-Mediated Professional Judgment Calibration</t>
  </si>
  <si>
    <t>⟨TP07, TK10⟩</t>
  </si>
  <si>
    <t>Algorithmic Codification of Professional Judgment</t>
  </si>
  <si>
    <t>⟨TP08, TK12⟩</t>
  </si>
  <si>
    <t>Generative Transfer of Organizational Practice</t>
  </si>
  <si>
    <t>⟨TP09, TK05⟩</t>
  </si>
  <si>
    <t>Semantic Representation of Embodied Craft Skill</t>
  </si>
  <si>
    <t>⟨TP10, TK04⟩</t>
  </si>
  <si>
    <t>Archival Capture of Unarticulated Expertise</t>
  </si>
  <si>
    <t>⟨TP10, TK05⟩</t>
  </si>
  <si>
    <t>Archival Codification of Embodied Craft Skill</t>
  </si>
  <si>
    <t>⟨TP11, TK04⟩</t>
  </si>
  <si>
    <t>Collaborative Articulation of Unrecognized Know-how</t>
  </si>
  <si>
    <t>⟨TP12, TK05⟩</t>
  </si>
  <si>
    <t>Blended Internalization of Embodied Skill</t>
  </si>
  <si>
    <t>⟨TP13, TK10⟩</t>
  </si>
  <si>
    <t>Criteria-Based Evaluation of Professional Judgment</t>
  </si>
  <si>
    <t>node_name</t>
  </si>
  <si>
    <t>interpretation</t>
  </si>
  <si>
    <t>evidence</t>
  </si>
  <si>
    <t>h001M01ED01</t>
  </si>
  <si>
    <t>Political, Regulatory &amp; Jurisdictional Environment Collection</t>
  </si>
  <si>
    <r>
      <t>Environmental dependency:</t>
    </r>
    <r>
      <rPr>
        <sz val="11"/>
        <color theme="1"/>
        <rFont val="Calibri"/>
        <charset val="134"/>
        <scheme val="minor"/>
      </rPr>
      <t xml:space="preserve"> Algorithms must align with construction-safety legislation, reporting rules, privacy requirements and jurisdiction-specific risk standards.</t>
    </r>
  </si>
  <si>
    <t>Accident data came from government safety sources; safety decisions followed Australian, Chinese and Peruvian regulations (c002;c008;c011;c016).</t>
  </si>
  <si>
    <t>政治法规约束下的安全治理，自然环境对建筑灾害，和外部技术基础设施决定的技术生态的准备程度；同时，组织内部AI adoption required management-backed resource allocation，包括资金，专家团队重建，技术与管理流水线的配合，以及</t>
  </si>
  <si>
    <t>h001M01ED04</t>
  </si>
  <si>
    <t>Natural &amp; Climatic Environment Collection</t>
  </si>
  <si>
    <r>
      <t>Environmental dependency:</t>
    </r>
    <r>
      <rPr>
        <sz val="11"/>
        <color theme="1"/>
        <rFont val="Calibri"/>
        <charset val="134"/>
        <scheme val="minor"/>
      </rPr>
      <t xml:space="preserve"> Models require current weather and seasonal data because climatic conditions alter hazards, heating demand and operational baselines.</t>
    </r>
  </si>
  <si>
    <t>Wind and sandstorms shaped bridge hazards, while weather and autumn–winter conditions affected building-temperature prediction (c005;c017).</t>
  </si>
  <si>
    <t>h001M01ED05</t>
  </si>
  <si>
    <t>External Technological &amp; Infrastructure Environment Collection</t>
  </si>
  <si>
    <r>
      <t>Environmental dependency:</t>
    </r>
    <r>
      <rPr>
        <sz val="11"/>
        <color theme="1"/>
        <rFont val="Calibri"/>
        <charset val="134"/>
        <scheme val="minor"/>
      </rPr>
      <t xml:space="preserve"> Reliable connectivity, transmission capacity, cloud services and external databases condition data-intensive deployment.</t>
    </r>
  </si>
  <si>
    <t>Rural point-cloud transmission had a substantially higher failure rate than urban transmission; bid automation also required integrated digital information infrastructure (c001;c009).</t>
  </si>
  <si>
    <t>h001M01ED06</t>
  </si>
  <si>
    <t>Client, Procurement &amp; Institutional Environment Collection</t>
  </si>
  <si>
    <r>
      <t>Environmental dependency:</t>
    </r>
    <r>
      <rPr>
        <sz val="11"/>
        <color theme="1"/>
        <rFont val="Calibri"/>
        <charset val="134"/>
        <scheme val="minor"/>
      </rPr>
      <t xml:space="preserve"> Predictions and extracted knowledge must reflect changing client requirements, submission rules, deadlines and procurement criteria.</t>
    </r>
  </si>
  <si>
    <t>Construction bids required project-specific tailoring and compliance with document, deadline and quality–cost evaluation requirements (c007;c009).</t>
  </si>
  <si>
    <t>h001M01ED07</t>
  </si>
  <si>
    <t>Supply-Chain &amp; Logistical Environment Collection</t>
  </si>
  <si>
    <r>
      <t>Environmental dependency:</t>
    </r>
    <r>
      <rPr>
        <sz val="11"/>
        <color theme="1"/>
        <rFont val="Calibri"/>
        <charset val="134"/>
        <scheme val="minor"/>
      </rPr>
      <t xml:space="preserve"> Continuous access to documents, data sources, sensors and technical inputs is vulnerable to logistical and geopolitical disruption.</t>
    </r>
  </si>
  <si>
    <t>Megaproject operation was conditioned by logistical complexity and geopolitical instability (c014).</t>
  </si>
  <si>
    <t>h001M01ED08</t>
  </si>
  <si>
    <t>Geographic &amp; Physical Site Context Collection</t>
  </si>
  <si>
    <r>
      <t>Environmental dependency:</t>
    </r>
    <r>
      <rPr>
        <sz val="11"/>
        <color theme="1"/>
        <rFont val="Calibri"/>
        <charset val="134"/>
        <scheme val="minor"/>
      </rPr>
      <t xml:space="preserve"> Models require access to observable, site-specific conditions rather than relying solely on generalized datasets.</t>
    </r>
  </si>
  <si>
    <t>Evidence covers remote mountainous locations, congested bridge sites, over-water work, confined spaces and worker-specific job sites (c001;c005;c006;c011).</t>
  </si>
  <si>
    <t>h001M01LI01</t>
  </si>
  <si>
    <t>Individual Knowledge and Memory Decay Collection</t>
  </si>
  <si>
    <r>
      <t>Retention limitation:</t>
    </r>
    <r>
      <rPr>
        <sz val="11"/>
        <color theme="1"/>
        <rFont val="Calibri"/>
        <charset val="134"/>
        <scheme val="minor"/>
      </rPr>
      <t xml:space="preserve"> Algorithmically presented professional standards still require reinforcement because exposure does not ensure durable retention.</t>
    </r>
  </si>
  <si>
    <t>Safety knowledge declined after four to five weeks, and some learners reportedly forgot most content within a week (c002;c004;c011).</t>
  </si>
  <si>
    <t>h001M01LI03</t>
  </si>
  <si>
    <t>Human Physiological, Cognitive-Capacity and Demographic Constraints Collection</t>
  </si>
  <si>
    <r>
      <t>User-capability limitation:</t>
    </r>
    <r>
      <rPr>
        <sz val="11"/>
        <color theme="1"/>
        <rFont val="Calibri"/>
        <charset val="134"/>
        <scheme val="minor"/>
      </rPr>
      <t xml:space="preserve"> Interfaces and explanations must accommodate age, working-memory limits, prior expertise and mixed learning preferences.</t>
    </r>
  </si>
  <si>
    <t>Older trainees experienced controller difficulty; multimedia effectiveness varied by expertise, and learners displayed non-fixed preferences (c005;c010;c011).</t>
  </si>
  <si>
    <t>h001M01LI04</t>
  </si>
  <si>
    <t>Instructional Design, Delivery, Assessment and Transfer Shortcomings Collection</t>
  </si>
  <si>
    <r>
      <t>Transfer limitation:</t>
    </r>
    <r>
      <rPr>
        <sz val="11"/>
        <color theme="1"/>
        <rFont val="Calibri"/>
        <charset val="134"/>
        <scheme val="minor"/>
      </rPr>
      <t xml:space="preserve"> Predictions must be embedded in active, contextual instruction and workplace feedback rather than delivered as decontextualized information.</t>
    </r>
  </si>
  <si>
    <t>Cases found passive learning, cognitive overload, incomplete hazard recognition and gaps between acquired knowledge and site behaviour (c002;c004;c005;c010).</t>
  </si>
  <si>
    <t>h001M01LI05</t>
  </si>
  <si>
    <t>Software, Algorithmic, Data Quality and Interoperability Barriers Collection</t>
  </si>
  <si>
    <r>
      <t>Technical capability limitation:</t>
    </r>
    <r>
      <rPr>
        <sz val="11"/>
        <color theme="1"/>
        <rFont val="Calibri"/>
        <charset val="134"/>
        <scheme val="minor"/>
      </rPr>
      <t xml:space="preserve"> Deployment requires data cleaning, standardized formats, domain dictionaries, OCR, interoperability and uncertainty management.</t>
    </r>
  </si>
  <si>
    <t>Accident reports were unstructured, language-specific and prone to vocabulary-based misclassification; bid extraction supported only PDFs and lacked OCR (c008;c009).</t>
  </si>
  <si>
    <t>h001M01LI06</t>
  </si>
  <si>
    <t>Hardware, Sensor and Technical Infrastructure Constraints Collection</t>
  </si>
  <si>
    <r>
      <t>Internal resource limitation:</t>
    </r>
    <r>
      <rPr>
        <sz val="11"/>
        <color theme="1"/>
        <rFont val="Calibri"/>
        <charset val="134"/>
        <scheme val="minor"/>
      </rPr>
      <t xml:space="preserve"> Adequate computing, sensing, connectivity and controllable physical infrastructure are prerequisites for real-time prediction.</t>
    </r>
  </si>
  <si>
    <t>Insufficient infrastructure restricted AI monitoring, while incomplete building sectorization limited the precision of heating decisions (c014;c017).</t>
  </si>
  <si>
    <t>h001M01LI08</t>
  </si>
  <si>
    <t>Time, Staffing, Expertise, Scheduling and Workload Constraints Collection</t>
  </si>
  <si>
    <r>
      <t>Resource and capability limitation:</t>
    </r>
    <r>
      <rPr>
        <sz val="11"/>
        <color theme="1"/>
        <rFont val="Calibri"/>
        <charset val="134"/>
        <scheme val="minor"/>
      </rPr>
      <t xml:space="preserve"> Automation requires protected implementation time, sufficient personnel and continuing expert involvement.</t>
    </r>
  </si>
  <si>
    <t>Text classification and bid preparation were labour-intensive, but nuanced project risks still made complete automation impractical (c008;c009;c012).</t>
  </si>
  <si>
    <t>h001M01LI09</t>
  </si>
  <si>
    <t>Organizational Culture, Leadership and Adoption Barriers Collection</t>
  </si>
  <si>
    <r>
      <t>Cultural limitation:</t>
    </r>
    <r>
      <rPr>
        <sz val="11"/>
        <color theme="1"/>
        <rFont val="Calibri"/>
        <charset val="134"/>
        <scheme val="minor"/>
      </rPr>
      <t xml:space="preserve"> Technical availability is insufficient without trust, incentives, management attention and willingness to use and share knowledge.</t>
    </r>
  </si>
  <si>
    <t>Knowledge hoarding and job-security fears obstructed capture; authoritarian leadership produced underuse or negligible adoption of AI tools (c007;c012;c014).</t>
  </si>
  <si>
    <t>h001M01LI10</t>
  </si>
  <si>
    <t>Organizational Governance Constraints Collection</t>
  </si>
  <si>
    <r>
      <t>Governance limitation:</t>
    </r>
    <r>
      <rPr>
        <sz val="11"/>
        <color theme="1"/>
        <rFont val="Calibri"/>
        <charset val="134"/>
        <scheme val="minor"/>
      </rPr>
      <t xml:space="preserve"> Organizations need stewardship, privacy controls and continuity arrangements to retain knowledge across temporary teams and staff turnover.</t>
    </r>
  </si>
  <si>
    <t>Bid documents created third-party API confidentiality risks, while retirements, temporary teams and staff changes caused contextual knowledge loss (c007;c009;c012;c016).</t>
  </si>
  <si>
    <t>h001M01LI11</t>
  </si>
  <si>
    <t>Physical-Environmental and Operational Variability Collection</t>
  </si>
  <si>
    <r>
      <t>Context limitation:</t>
    </r>
    <r>
      <rPr>
        <sz val="11"/>
        <color theme="1"/>
        <rFont val="Calibri"/>
        <charset val="134"/>
        <scheme val="minor"/>
      </rPr>
      <t xml:space="preserve"> Unscheduled human activity and changing physical conditions can invalidate stable algorithmic assumptions.</t>
    </r>
  </si>
  <si>
    <t>Building temperatures diverged from predicted thresholds because of variable occupancy, open windows, weather and inflexible heating schedules (c017).</t>
  </si>
  <si>
    <t>h001M01LI13</t>
  </si>
  <si>
    <t>Research Design, Measurement and Validation Flaws Collection</t>
  </si>
  <si>
    <r>
      <t>Validation-capability limitation:</t>
    </r>
    <r>
      <rPr>
        <sz val="11"/>
        <color theme="1"/>
        <rFont val="Calibri"/>
        <charset val="134"/>
        <scheme val="minor"/>
      </rPr>
      <t xml:space="preserve"> Deployment decisions require behavioural and longitudinal validation, not only model accuracy or short-term test scores.</t>
    </r>
  </si>
  <si>
    <t>Studies omitted long-term practical performance, used limited features and relied on contested learning-style constructs (c004;c010).</t>
  </si>
  <si>
    <t>h001M01LI14</t>
  </si>
  <si>
    <t>Empirical Sample and Generalizability Limitations Collection</t>
  </si>
  <si>
    <r>
      <t>Data-resource limitation:</t>
    </r>
    <r>
      <rPr>
        <sz val="11"/>
        <color theme="1"/>
        <rFont val="Calibri"/>
        <charset val="134"/>
        <scheme val="minor"/>
      </rPr>
      <t xml:space="preserve"> Training data must cover rare events, mixed users, document formats and different project contexts.</t>
    </r>
  </si>
  <si>
    <t>Accident-class samples were small and imbalanced; bid evidence came from two firms, and mixed learner profiles were underrepresented (c008;c009;c010).</t>
  </si>
  <si>
    <t>h001M01OD01</t>
  </si>
  <si>
    <t>Governance, Standards &amp; Formal Control Collection</t>
  </si>
  <si>
    <r>
      <t>Organizational capability dependency:</t>
    </r>
    <r>
      <rPr>
        <sz val="11"/>
        <color theme="1"/>
        <rFont val="Calibri"/>
        <charset val="134"/>
        <scheme val="minor"/>
      </rPr>
      <t xml:space="preserve"> Formal standards must govern data quality, privacy, access, review and acceptable algorithmic performance.</t>
    </r>
  </si>
  <si>
    <t>Cases applied safety standards, ethics approval, mandatory inductions, consent procedures and restricted access to sensitive knowledge (c004;c009;c012).</t>
  </si>
  <si>
    <t>h001M01OD02</t>
  </si>
  <si>
    <t>Strategic Leadership &amp; Sponsorship Collection</t>
  </si>
  <si>
    <r>
      <t>Organizational capability dependency:</t>
    </r>
    <r>
      <rPr>
        <sz val="11"/>
        <color theme="1"/>
        <rFont val="Calibri"/>
        <charset val="134"/>
        <scheme val="minor"/>
      </rPr>
      <t xml:space="preserve"> Senior and participative leadership must provide direction, authorize intervention and allocate implementation resources.</t>
    </r>
  </si>
  <si>
    <t>Management support strengthened safety application, while participative leadership enabled AI use, knowledge sharing and proactive action (c008;c014).</t>
  </si>
  <si>
    <t>h001M01OD03</t>
  </si>
  <si>
    <t>Financial, Technical &amp; Information Resources Collection</t>
  </si>
  <si>
    <r>
      <t>Organizational resource dependency:</t>
    </r>
    <r>
      <rPr>
        <sz val="11"/>
        <color theme="1"/>
        <rFont val="Calibri"/>
        <charset val="134"/>
        <scheme val="minor"/>
      </rPr>
      <t xml:space="preserve"> Firms need funding, representative corpora, centralized information systems and implementation and training resources.</t>
    </r>
  </si>
  <si>
    <t>Deep-learning performance depended on a large accident corpus; bid automation required centralized data, and AI adoption required management-backed resource allocation (c008;c009;c014).</t>
  </si>
  <si>
    <t>h001M01OD04</t>
  </si>
  <si>
    <t>Time, Workload &amp; Operational Scheduling Collection</t>
  </si>
  <si>
    <r>
      <t>Organizational resource dependency:</t>
    </r>
    <r>
      <rPr>
        <sz val="11"/>
        <color theme="1"/>
        <rFont val="Calibri"/>
        <charset val="134"/>
        <scheme val="minor"/>
      </rPr>
      <t xml:space="preserve"> Deployment requires protected time for adaptation, training, model maintenance and knowledge curation.</t>
    </r>
  </si>
  <si>
    <t>Cases allocated time for technology familiarization and training, while narrative elicitation and digital integration required dedicated organizational time (c003;c011;c012).</t>
  </si>
  <si>
    <t>h001M01OD05</t>
  </si>
  <si>
    <t>Human Capacity, Roles &amp; Participation Collection</t>
  </si>
  <si>
    <r>
      <t>Organizational capability dependency:</t>
    </r>
    <r>
      <rPr>
        <sz val="11"/>
        <color theme="1"/>
        <rFont val="Calibri"/>
        <charset val="134"/>
        <scheme val="minor"/>
      </rPr>
      <t xml:space="preserve"> Domain experts, trained facilitators, digitally literate staff and participating stakeholders must interpret and validate outputs.</t>
    </r>
  </si>
  <si>
    <t>Evidence identifies workforce KM training, trained narrative facilitators, stakeholder participation and expert annotation or review as necessary roles (c007;c012;c014).</t>
  </si>
  <si>
    <t>h001M01OD06</t>
  </si>
  <si>
    <t>Culture, Trust &amp; Relational Climate Collection</t>
  </si>
  <si>
    <r>
      <t>Organizational culture dependency:</t>
    </r>
    <r>
      <rPr>
        <sz val="11"/>
        <color theme="1"/>
        <rFont val="Calibri"/>
        <charset val="134"/>
        <scheme val="minor"/>
      </rPr>
      <t xml:space="preserve"> Deployment requires psychological safety, interorganizational trust, openness to digital transformation and a knowledge-sharing safety culture.</t>
    </r>
  </si>
  <si>
    <t>Cases associate adoption with trust, openness and continuous-improvement norms and identify their absence as a barrier to sharing (c007;c009;c012;c014;c016).</t>
  </si>
  <si>
    <t>h001M01OD08</t>
  </si>
  <si>
    <t>Organizational Structure &amp; Process Design Collection</t>
  </si>
  <si>
    <r>
      <t>Organizational capability dependency:</t>
    </r>
    <r>
      <rPr>
        <sz val="11"/>
        <color theme="1"/>
        <rFont val="Calibri"/>
        <charset val="134"/>
        <scheme val="minor"/>
      </rPr>
      <t xml:space="preserve"> Algorithms must be integrated into dedicated functions, standardized workflows and processes responsive to project and worker differences.</t>
    </r>
  </si>
  <si>
    <t>Dedicated bid departments, organizational maturity, information-system readiness and task-specific training design supported implementation (c002;c007;c009).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</si>
</sst>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sz val="11"/>
      <color rgb="FF545454"/>
      <name val="Calibri"/>
      <charset val="134"/>
      <scheme val="minor"/>
    </font>
    <font>
      <sz val="11"/>
      <color rgb="FF1F1F1F"/>
      <name val="Calibri"/>
      <charset val="134"/>
      <scheme val="minor"/>
    </font>
    <font>
      <sz val="10.5"/>
      <color rgb="FF000000"/>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ck">
        <color rgb="FF000000"/>
      </top>
      <bottom style="medium">
        <color rgb="FF000000"/>
      </bottom>
      <diagonal/>
    </border>
    <border>
      <left/>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0">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0" fillId="0" borderId="1" xfId="0" applyBorder="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Fill="1" applyAlignment="1">
      <alignment vertical="center"/>
    </xf>
    <xf numFmtId="0" fontId="0" fillId="0" borderId="0" xfId="0" applyFill="1" applyAlignment="1">
      <alignment vertical="center" wrapText="1"/>
    </xf>
    <xf numFmtId="49" fontId="0" fillId="0" borderId="0" xfId="0" applyNumberFormat="1">
      <alignment vertical="center"/>
    </xf>
    <xf numFmtId="49" fontId="0" fillId="0" borderId="0" xfId="0" applyNumberFormat="1" applyAlignment="1">
      <alignment vertical="center" wrapText="1"/>
    </xf>
    <xf numFmtId="49" fontId="0" fillId="0" borderId="1" xfId="0" applyNumberFormat="1" applyBorder="1">
      <alignment vertical="center"/>
    </xf>
    <xf numFmtId="49" fontId="0" fillId="0" borderId="1" xfId="0" applyNumberFormat="1" applyBorder="1" applyAlignment="1">
      <alignment vertical="center" wrapText="1"/>
    </xf>
    <xf numFmtId="0" fontId="3" fillId="0" borderId="1" xfId="0" applyFont="1" applyFill="1" applyBorder="1" applyAlignment="1">
      <alignment vertical="center" wrapText="1" readingOrder="1"/>
    </xf>
    <xf numFmtId="0" fontId="0" fillId="0" borderId="1" xfId="0" applyBorder="1" applyAlignment="1">
      <alignment horizontal="center" vertical="center"/>
    </xf>
    <xf numFmtId="0" fontId="4" fillId="2" borderId="2" xfId="0" applyFont="1" applyFill="1" applyBorder="1" applyAlignment="1">
      <alignment horizontal="center" vertical="center" wrapText="1"/>
    </xf>
    <xf numFmtId="0" fontId="1" fillId="0" borderId="1" xfId="0" applyFont="1" applyBorder="1" applyAlignment="1">
      <alignment vertical="center" wrapText="1"/>
    </xf>
    <xf numFmtId="0" fontId="0" fillId="0" borderId="1" xfId="0" applyFill="1" applyBorder="1" applyAlignment="1">
      <alignment vertical="center" wrapText="1"/>
    </xf>
    <xf numFmtId="49" fontId="0" fillId="0" borderId="1" xfId="0" applyNumberFormat="1" applyBorder="1" applyAlignment="1">
      <alignment horizontal="center" vertical="center"/>
    </xf>
    <xf numFmtId="0" fontId="4" fillId="2" borderId="0" xfId="0" applyFont="1" applyFill="1" applyAlignment="1">
      <alignment horizontal="left" vertical="center" wrapText="1"/>
    </xf>
    <xf numFmtId="0" fontId="4" fillId="2" borderId="3" xfId="0" applyFont="1" applyFill="1" applyBorder="1" applyAlignment="1">
      <alignment horizontal="left" vertical="center" wrapText="1"/>
    </xf>
    <xf numFmtId="0" fontId="0" fillId="0" borderId="0" xfId="0" applyAlignment="1">
      <alignment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zoomScale="88" zoomScaleNormal="88" topLeftCell="A4" workbookViewId="0">
      <selection activeCell="E8" sqref="E8"/>
    </sheetView>
  </sheetViews>
  <sheetFormatPr defaultColWidth="9" defaultRowHeight="16.8"/>
  <cols>
    <col min="2" max="2" width="26.953125" customWidth="1"/>
    <col min="3" max="3" width="45.046875" style="5" customWidth="1"/>
    <col min="4" max="4" width="20.625" style="13" customWidth="1"/>
    <col min="5" max="5" width="31.546875" style="5" customWidth="1"/>
    <col min="6" max="6" width="26.6484375" customWidth="1"/>
    <col min="7" max="7" width="44.65625" customWidth="1"/>
    <col min="9" max="9" width="14.703125" customWidth="1"/>
    <col min="10" max="10" width="21.2890625" customWidth="1"/>
    <col min="11" max="11" width="22.640625" customWidth="1"/>
  </cols>
  <sheetData>
    <row r="1" s="27" customFormat="1" spans="1:11">
      <c r="A1" s="28" t="s">
        <v>0</v>
      </c>
      <c r="B1" s="28" t="s">
        <v>1</v>
      </c>
      <c r="C1" s="28" t="s">
        <v>2</v>
      </c>
      <c r="D1" s="28" t="s">
        <v>3</v>
      </c>
      <c r="E1" s="29" t="s">
        <v>4</v>
      </c>
      <c r="F1" s="29" t="s">
        <v>5</v>
      </c>
      <c r="G1" s="29" t="s">
        <v>6</v>
      </c>
      <c r="H1" s="29" t="s">
        <v>7</v>
      </c>
    </row>
    <row r="2" ht="84" spans="1:11">
      <c r="A2" s="23" t="s">
        <v>8</v>
      </c>
      <c r="B2" s="23" t="s">
        <v>9</v>
      </c>
      <c r="C2" s="23" t="s">
        <v>10</v>
      </c>
      <c r="D2" s="23" t="s">
        <v>11</v>
      </c>
      <c r="E2" s="7" t="str" cm="1">
        <f t="array" ref="E2">IFERROR(INDEX(s001_insights!F:F,MATCH("s001M01"&amp;A2,s001_insights!A:A,0)),"")</f>
        <v>TK06 Trained Sensory and Perceptual Recognition</v>
      </c>
      <c r="F2" s="7" t="str" cm="1">
        <f t="array" ref="F2">IFERROR(INDEX(s002_insights!F:F,MATCH("s002M01"&amp;A2,s002_insights!A:A,0)),"")</f>
        <v/>
      </c>
      <c r="G2" s="7" t="str" cm="1">
        <f t="array" ref="G2">IFERROR(INDEX(s003_insights!F:F,MATCH("s003M01"&amp;A2,s003_insights!A:A,0)),"")</f>
        <v>TK05 Practised Motor and Tool-Operation Skill
TK06 Trained Sensory and Perceptual Recognition
TK10 Shared Professional Norms and Standards of Judgment</v>
      </c>
      <c r="H2" s="20">
        <f>3-COUNTIF(E2:G2,"")</f>
        <v>2</v>
      </c>
      <c r="J2" t="s">
        <v>12</v>
      </c>
      <c r="K2" s="5" t="s">
        <v>13</v>
      </c>
    </row>
    <row r="3" ht="51" spans="1:11">
      <c r="A3" s="23" t="s">
        <v>14</v>
      </c>
      <c r="B3" s="23" t="s">
        <v>15</v>
      </c>
      <c r="C3" s="23" t="s">
        <v>16</v>
      </c>
      <c r="D3" s="23" t="s">
        <v>11</v>
      </c>
      <c r="E3" s="7" t="str" cm="1">
        <f t="array" ref="E3">IFERROR(INDEX(s001_insights!F:F,MATCH("s001M01"&amp;A3,s001_insights!A:A,0)),"")</f>
        <v/>
      </c>
      <c r="F3" s="7" t="str" cm="1">
        <f t="array" ref="F3">IFERROR(INDEX(s002_insights!F:F,MATCH("s002M01"&amp;A3,s002_insights!A:A,0)),"")</f>
        <v/>
      </c>
      <c r="G3" s="7" t="str" cm="1">
        <f t="array" ref="G3">IFERROR(INDEX(s003_insights!F:F,MATCH("s003M01"&amp;A3,s003_insights!A:A,0)),"")</f>
        <v/>
      </c>
      <c r="H3" s="20">
        <f t="shared" ref="H3:H16" si="0">3-COUNTIF(E3:G3,"")</f>
        <v>0</v>
      </c>
    </row>
    <row r="4" ht="168" spans="1:11">
      <c r="A4" s="23" t="s">
        <v>17</v>
      </c>
      <c r="B4" s="23" t="s">
        <v>18</v>
      </c>
      <c r="C4" s="23" t="s">
        <v>19</v>
      </c>
      <c r="D4" s="23" t="s">
        <v>20</v>
      </c>
      <c r="E4" s="7" t="str" cm="1">
        <f t="array" ref="E4">IFERROR(INDEX(s001_insights!F:F,MATCH("s001M01"&amp;A4,s001_insights!A:A,0)),"")</f>
        <v>TK05 Practised Motor and Tool-Operation Skill
TK06 Trained Sensory and Perceptual Recognition
TK07 Embodied Posture, Balance, and Spatial Control
TK08 Immediate Embodied Response to Changing Conditions
TK10 Shared Professional Norms and Standards of Judgment</v>
      </c>
      <c r="F4" s="7" t="str" cm="1">
        <f t="array" ref="F4">IFERROR(INDEX(s002_insights!F:F,MATCH("s002M01"&amp;A4,s002_insights!A:A,0)),"")</f>
        <v>TK04 Unrecognized or Unarticulated Personal Know-how
TK05 Practised Motor and Tool-Operation Skill
TK06 Trained Sensory and Perceptual Recognition
TK07 Embodied Posture, Balance, and Spatial Control</v>
      </c>
      <c r="G4" s="7" t="str" cm="1">
        <f t="array" ref="G4">IFERROR(INDEX(s003_insights!F:F,MATCH("s003M01"&amp;A4,s003_insights!A:A,0)),"")</f>
        <v>TK05 Practised Motor and Tool-Operation Skill
TK06 Trained Sensory and Perceptual Recognition
TK08 Immediate Embodied Response to Changing Conditions
TK11 Informal Coordination, Communication, and Escalation Know-how
TK10 Shared Professional Norms and Standards of Judgment</v>
      </c>
      <c r="H4" s="20">
        <f t="shared" si="0"/>
        <v>3</v>
      </c>
      <c r="I4" s="5" t="s">
        <v>21</v>
      </c>
      <c r="J4" s="5" t="s">
        <v>22</v>
      </c>
      <c r="K4" s="5" t="s">
        <v>23</v>
      </c>
    </row>
    <row r="5" ht="68" spans="1:11">
      <c r="A5" s="23" t="s">
        <v>24</v>
      </c>
      <c r="B5" s="23" t="s">
        <v>25</v>
      </c>
      <c r="C5" s="23" t="s">
        <v>26</v>
      </c>
      <c r="D5" s="23" t="s">
        <v>20</v>
      </c>
      <c r="E5" s="7" t="str" cm="1">
        <f t="array" ref="E5">IFERROR(INDEX(s001_insights!F:F,MATCH("s001M01"&amp;A5,s001_insights!A:A,0)),"")</f>
        <v/>
      </c>
      <c r="F5" s="7" t="str" cm="1">
        <f t="array" ref="F5">IFERROR(INDEX(s002_insights!F:F,MATCH("s002M01"&amp;A5,s002_insights!A:A,0)),"")</f>
        <v>TK05 Practised Motor and Tool-Operation Skill</v>
      </c>
      <c r="G5" s="7" t="str" cm="1">
        <f t="array" ref="G5">IFERROR(INDEX(s003_insights!F:F,MATCH("s003M01"&amp;A5,s003_insights!A:A,0)),"")</f>
        <v>TK10 Shared Professional Norms and Standards of Judgment</v>
      </c>
      <c r="H5" s="20">
        <f t="shared" si="0"/>
        <v>2</v>
      </c>
    </row>
    <row r="6" ht="51" spans="1:11">
      <c r="A6" s="23" t="s">
        <v>27</v>
      </c>
      <c r="B6" s="23" t="s">
        <v>28</v>
      </c>
      <c r="C6" s="23" t="s">
        <v>29</v>
      </c>
      <c r="D6" s="23" t="s">
        <v>11</v>
      </c>
      <c r="E6" s="7" t="str" cm="1">
        <f t="array" ref="E6">IFERROR(INDEX(s001_insights!F:F,MATCH("s001M01"&amp;A6,s001_insights!A:A,0)),"")</f>
        <v/>
      </c>
      <c r="F6" s="7" t="str" cm="1">
        <f t="array" ref="F6">IFERROR(INDEX(s002_insights!F:F,MATCH("s002M01"&amp;A6,s002_insights!A:A,0)),"")</f>
        <v/>
      </c>
      <c r="G6" s="7" t="str" cm="1">
        <f t="array" ref="G6">IFERROR(INDEX(s003_insights!F:F,MATCH("s003M01"&amp;A6,s003_insights!A:A,0)),"")</f>
        <v/>
      </c>
      <c r="H6" s="20">
        <f t="shared" si="0"/>
        <v>0</v>
      </c>
    </row>
    <row r="7" ht="152" spans="1:11">
      <c r="A7" s="23" t="s">
        <v>30</v>
      </c>
      <c r="B7" s="23" t="s">
        <v>31</v>
      </c>
      <c r="C7" s="23" t="s">
        <v>32</v>
      </c>
      <c r="D7" s="23" t="s">
        <v>11</v>
      </c>
      <c r="E7" s="7" t="str" cm="1">
        <f t="array" ref="E7">IFERROR(INDEX(s001_insights!F:F,MATCH("s001M01"&amp;A7,s001_insights!A:A,0)),"")</f>
        <v>TK06 Trained Sensory and Perceptual Recognition
TK07 Embodied Posture, Balance, and Spatial Control</v>
      </c>
      <c r="F7" s="7" t="str" cm="1">
        <f t="array" ref="F7">IFERROR(INDEX(s002_insights!F:F,MATCH("s002M01"&amp;A7,s002_insights!A:A,0)),"")</f>
        <v>TK04 Unrecognized or Unarticulated Personal Know-how
TK05 Practised Motor and Tool-Operation Skill
TK06 Trained Sensory and Perceptual Recognition
TK07 Embodied Posture, Balance, and Spatial Control</v>
      </c>
      <c r="G7" s="7" t="str" cm="1">
        <f t="array" ref="G7">IFERROR(INDEX(s003_insights!F:F,MATCH("s003M01"&amp;A7,s003_insights!A:A,0)),"")</f>
        <v/>
      </c>
      <c r="H7" s="20">
        <f t="shared" si="0"/>
        <v>2</v>
      </c>
      <c r="I7" s="5" t="s">
        <v>33</v>
      </c>
    </row>
    <row r="8" ht="168" spans="1:11">
      <c r="A8" s="23" t="s">
        <v>34</v>
      </c>
      <c r="B8" s="23" t="s">
        <v>35</v>
      </c>
      <c r="C8" s="23" t="s">
        <v>36</v>
      </c>
      <c r="D8" s="23" t="s">
        <v>11</v>
      </c>
      <c r="E8" s="7" t="str" cm="1">
        <f t="array" ref="E8">IFERROR(INDEX(s001_insights!F:F,MATCH("s001M01"&amp;A8,s001_insights!A:A,0)),"")</f>
        <v>TK06 Trained Sensory and Perceptual Recognition
TK10 Shared Professional Norms and Standards of Judgment</v>
      </c>
      <c r="F8" s="7" t="str" cm="1">
        <f t="array" ref="F8">IFERROR(INDEX(s002_insights!F:F,MATCH("s002M01"&amp;A8,s002_insights!A:A,0)),"")</f>
        <v>TK02 Knowledge Conveyed Through Examples or Demonstration
TK04 Unrecognized or Unarticulated Personal Know-how
TK05 Practised Motor and Tool-Operation Skill
TK06 Trained Sensory and Perceptual Recognition</v>
      </c>
      <c r="G8" s="7" t="str" cm="1">
        <f t="array" ref="G8">IFERROR(INDEX(s003_insights!F:F,MATCH("s003M01"&amp;A8,s003_insights!A:A,0)),"")</f>
        <v>TK06 Trained Sensory and Perceptual Recognition
TK10 Shared Professional Norms and Standards of Judgment</v>
      </c>
      <c r="H8" s="20">
        <f t="shared" si="0"/>
        <v>3</v>
      </c>
      <c r="I8" s="23" t="s">
        <v>37</v>
      </c>
      <c r="J8" t="s">
        <v>38</v>
      </c>
    </row>
    <row r="9" ht="101" spans="1:11">
      <c r="A9" s="23" t="s">
        <v>39</v>
      </c>
      <c r="B9" s="23" t="s">
        <v>40</v>
      </c>
      <c r="C9" s="23" t="s">
        <v>41</v>
      </c>
      <c r="D9" s="23" t="s">
        <v>11</v>
      </c>
      <c r="E9" s="7" t="str" cm="1">
        <f t="array" ref="E9">IFERROR(INDEX(s001_insights!F:F,MATCH("s001M01"&amp;A9,s001_insights!A:A,0)),"")</f>
        <v>TK12 Organizational Culture and Unwritten Working Practices</v>
      </c>
      <c r="F9" s="7" t="str" cm="1">
        <f t="array" ref="F9">IFERROR(INDEX(s002_insights!F:F,MATCH("s002M01"&amp;A9,s002_insights!A:A,0)),"")</f>
        <v>TK06 Trained Sensory and Perceptual Recognition
TK07 Embodied Posture, Balance, and Spatial Control
TK12 Organizational Culture and Unwritten Working Practices</v>
      </c>
      <c r="G9" s="7" t="str" cm="1">
        <f t="array" ref="G9">IFERROR(INDEX(s003_insights!F:F,MATCH("s003M01"&amp;A9,s003_insights!A:A,0)),"")</f>
        <v/>
      </c>
      <c r="H9" s="20">
        <f t="shared" si="0"/>
        <v>2</v>
      </c>
      <c r="I9" s="23"/>
      <c r="J9" t="s">
        <v>42</v>
      </c>
    </row>
    <row r="10" ht="118" spans="1:11">
      <c r="A10" s="23" t="s">
        <v>43</v>
      </c>
      <c r="B10" s="23" t="s">
        <v>44</v>
      </c>
      <c r="C10" s="23" t="s">
        <v>45</v>
      </c>
      <c r="D10" s="23" t="s">
        <v>11</v>
      </c>
      <c r="E10" s="7" t="str" cm="1">
        <f t="array" ref="E10">IFERROR(INDEX(s001_insights!F:F,MATCH("s001M01"&amp;A10,s001_insights!A:A,0)),"")</f>
        <v>TK05 Practised Motor and Tool-Operation Skill</v>
      </c>
      <c r="F10" s="7" t="str" cm="1">
        <f t="array" ref="F10">IFERROR(INDEX(s002_insights!F:F,MATCH("s002M01"&amp;A10,s002_insights!A:A,0)),"")</f>
        <v>TK12 Organizational Culture and Unwritten Working Practices</v>
      </c>
      <c r="G10" s="7" t="str" cm="1">
        <f t="array" ref="G10">IFERROR(INDEX(s003_insights!F:F,MATCH("s003M01"&amp;A10,s003_insights!A:A,0)),"")</f>
        <v>TK02 Knowledge Conveyed Through Examples or Demonstration
TK05 Practised Motor and Tool-Operation Skill
TK10 Shared Professional Norms and Standards of Judgment
TK09 Shared Professional Language and Contextual Meaning</v>
      </c>
      <c r="H10" s="20">
        <f t="shared" si="0"/>
        <v>3</v>
      </c>
      <c r="I10" s="23"/>
      <c r="J10" t="s">
        <v>46</v>
      </c>
    </row>
    <row r="11" ht="219" spans="1:11">
      <c r="A11" s="23" t="s">
        <v>47</v>
      </c>
      <c r="B11" s="23" t="s">
        <v>48</v>
      </c>
      <c r="C11" s="23" t="s">
        <v>49</v>
      </c>
      <c r="D11" s="23" t="s">
        <v>11</v>
      </c>
      <c r="E11" s="7" t="str" cm="1">
        <f t="array" ref="E11">IFERROR(INDEX(s001_insights!F:F,MATCH("s001M01"&amp;A11,s001_insights!A:A,0)),"")</f>
        <v>TK02 Knowledge Conveyed Through Examples or Demonstration
TK04 Unrecognized or Unarticulated Personal Know-how
TK05 Practised Motor and Tool-Operation Skill
TK10 Shared Professional Norms and Standards of Judgment
TK11 Informal Coordination, Communication, and Escalation Know-how
TK12 Organizational Culture and Unwritten Working Practices</v>
      </c>
      <c r="F11" s="7" t="str" cm="1">
        <f t="array" ref="F11">IFERROR(INDEX(s002_insights!F:F,MATCH("s002M01"&amp;A11,s002_insights!A:A,0)),"")</f>
        <v>TK04 Unrecognized or Unarticulated Personal Know-how
TK05 Practised Motor and Tool-Operation Skill</v>
      </c>
      <c r="G11" s="7" t="str" cm="1">
        <f t="array" ref="G11">IFERROR(INDEX(s003_insights!F:F,MATCH("s003M01"&amp;A11,s003_insights!A:A,0)),"")</f>
        <v>TK09 Shared Professional Language and Contextual Meaning</v>
      </c>
      <c r="H11" s="20">
        <f t="shared" si="0"/>
        <v>3</v>
      </c>
      <c r="I11" s="23"/>
      <c r="J11" s="5" t="s">
        <v>50</v>
      </c>
    </row>
    <row r="12" ht="135" spans="1:11">
      <c r="A12" s="23" t="s">
        <v>51</v>
      </c>
      <c r="B12" s="23" t="s">
        <v>52</v>
      </c>
      <c r="C12" s="23" t="s">
        <v>53</v>
      </c>
      <c r="D12" s="23" t="s">
        <v>20</v>
      </c>
      <c r="E12" s="7" t="str" cm="1">
        <f t="array" ref="E12">IFERROR(INDEX(s001_insights!F:F,MATCH("s001M01"&amp;A12,s001_insights!A:A,0)),"")</f>
        <v/>
      </c>
      <c r="F12" s="7" t="str" cm="1">
        <f t="array" ref="F12">IFERROR(INDEX(s002_insights!F:F,MATCH("s002M01"&amp;A12,s002_insights!A:A,0)),"")</f>
        <v>TK04 Unrecognized or Unarticulated Personal Know-how
TK09 Shared Professional Language and Contextual Meaning
TK12 Organizational Culture and Unwritten Working Practices</v>
      </c>
      <c r="G12" s="7" t="str" cm="1">
        <f t="array" ref="G12">IFERROR(INDEX(s003_insights!F:F,MATCH("s003M01"&amp;A12,s003_insights!A:A,0)),"")</f>
        <v>TK02 Knowledge Conveyed Through Examples or Demonstration
TK04 Unrecognized or Unarticulated Personal Know-how
TK10 Shared Professional Norms and Standards of Judgment</v>
      </c>
      <c r="H12" s="20">
        <f t="shared" si="0"/>
        <v>2</v>
      </c>
      <c r="I12" s="23"/>
      <c r="J12" t="s">
        <v>54</v>
      </c>
    </row>
    <row r="13" ht="84" spans="1:11">
      <c r="A13" s="23" t="s">
        <v>55</v>
      </c>
      <c r="B13" s="23" t="s">
        <v>56</v>
      </c>
      <c r="C13" s="23" t="s">
        <v>57</v>
      </c>
      <c r="D13" s="23" t="s">
        <v>20</v>
      </c>
      <c r="E13" s="7" t="str" cm="1">
        <f t="array" ref="E13">IFERROR(INDEX(s001_insights!F:F,MATCH("s001M01"&amp;A13,s001_insights!A:A,0)),"")</f>
        <v>TK05 Practised Motor and Tool-Operation Skill
TK11 Informal Coordination, Communication, and Escalation Know-how</v>
      </c>
      <c r="F13" s="7" t="str" cm="1">
        <f t="array" ref="F13">IFERROR(INDEX(s002_insights!F:F,MATCH("s002M01"&amp;A13,s002_insights!A:A,0)),"")</f>
        <v>TK05 Practised Motor and Tool-Operation Skill
TK10 Shared Professional Norms and Standards of Judgment</v>
      </c>
      <c r="G13" s="7" t="str" cm="1">
        <f t="array" ref="G13">IFERROR(INDEX(s003_insights!F:F,MATCH("s003M01"&amp;A13,s003_insights!A:A,0)),"")</f>
        <v>TK05 Practised Motor and Tool-Operation Skill</v>
      </c>
      <c r="H13" s="20">
        <f t="shared" si="0"/>
        <v>3</v>
      </c>
      <c r="I13" s="23"/>
      <c r="J13" t="s">
        <v>58</v>
      </c>
    </row>
    <row r="14" ht="84" spans="1:11">
      <c r="A14" s="23" t="s">
        <v>59</v>
      </c>
      <c r="B14" s="23" t="s">
        <v>60</v>
      </c>
      <c r="C14" s="23" t="s">
        <v>61</v>
      </c>
      <c r="D14" s="23" t="s">
        <v>11</v>
      </c>
      <c r="E14" s="7" t="str" cm="1">
        <f t="array" ref="E14">IFERROR(INDEX(s001_insights!F:F,MATCH("s001M01"&amp;A14,s001_insights!A:A,0)),"")</f>
        <v>TK10 Shared Professional Norms and Standards of Judgment</v>
      </c>
      <c r="F14" s="7" t="str" cm="1">
        <f t="array" ref="F14">IFERROR(INDEX(s002_insights!F:F,MATCH("s002M01"&amp;A14,s002_insights!A:A,0)),"")</f>
        <v>TK05 Practised Motor and Tool-Operation Skill
TK10 Shared Professional Norms and Standards of Judgment</v>
      </c>
      <c r="G14" s="7" t="str" cm="1">
        <f t="array" ref="G14">IFERROR(INDEX(s003_insights!F:F,MATCH("s003M01"&amp;A14,s003_insights!A:A,0)),"")</f>
        <v>TK12 Organizational Culture and Unwritten Working Practices</v>
      </c>
      <c r="H14" s="20">
        <f t="shared" si="0"/>
        <v>3</v>
      </c>
      <c r="I14" s="23"/>
      <c r="J14" t="s">
        <v>62</v>
      </c>
    </row>
    <row r="15" ht="84" spans="1:11">
      <c r="A15" s="23" t="s">
        <v>63</v>
      </c>
      <c r="B15" s="23" t="s">
        <v>64</v>
      </c>
      <c r="C15" s="23" t="s">
        <v>65</v>
      </c>
      <c r="D15" s="23" t="s">
        <v>11</v>
      </c>
      <c r="E15" s="7" t="str" cm="1">
        <f t="array" ref="E15">IFERROR(INDEX(s001_insights!F:F,MATCH("s001M01"&amp;A15,s001_insights!A:A,0)),"")</f>
        <v/>
      </c>
      <c r="F15" s="7" t="str" cm="1">
        <f t="array" ref="F15">IFERROR(INDEX(s002_insights!F:F,MATCH("s002M01"&amp;A15,s002_insights!A:A,0)),"")</f>
        <v/>
      </c>
      <c r="G15" s="7" t="str" cm="1">
        <f t="array" ref="G15">IFERROR(INDEX(s003_insights!F:F,MATCH("s003M01"&amp;A15,s003_insights!A:A,0)),"")</f>
        <v>TK04 Unrecognized or Unarticulated Personal Know-how</v>
      </c>
      <c r="H15" s="20">
        <f t="shared" si="0"/>
        <v>1</v>
      </c>
      <c r="I15" s="23"/>
    </row>
    <row r="16" ht="84" spans="1:11">
      <c r="A16" s="23" t="s">
        <v>66</v>
      </c>
      <c r="B16" s="23" t="s">
        <v>67</v>
      </c>
      <c r="C16" s="23" t="s">
        <v>68</v>
      </c>
      <c r="D16" s="23" t="s">
        <v>20</v>
      </c>
      <c r="E16" s="7" t="str" cm="1">
        <f t="array" ref="E16">IFERROR(INDEX(s001_insights!F:F,MATCH("s001M01"&amp;A16,s001_insights!A:A,0)),"")</f>
        <v/>
      </c>
      <c r="F16" s="7" t="str" cm="1">
        <f t="array" ref="F16">IFERROR(INDEX(s002_insights!F:F,MATCH("s002M01"&amp;A16,s002_insights!A:A,0)),"")</f>
        <v>TK05 Practised Motor and Tool-Operation Skill
TK06 Trained Sensory and Perceptual Recognition</v>
      </c>
      <c r="G16" s="7" t="str" cm="1">
        <f t="array" ref="G16">IFERROR(INDEX(s003_insights!F:F,MATCH("s003M01"&amp;A16,s003_insights!A:A,0)),"")</f>
        <v/>
      </c>
      <c r="H16" s="20">
        <f t="shared" si="0"/>
        <v>1</v>
      </c>
      <c r="I16" s="2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zoomScale="93" zoomScaleNormal="93" workbookViewId="0">
      <selection activeCell="F6" sqref="F6"/>
    </sheetView>
  </sheetViews>
  <sheetFormatPr defaultColWidth="9" defaultRowHeight="16.8" outlineLevelCol="6"/>
  <cols>
    <col min="2" max="3" width="24.609375" customWidth="1"/>
    <col min="4" max="4" width="20.9609375" customWidth="1"/>
    <col min="5" max="5" width="21.75" customWidth="1"/>
    <col min="6" max="6" width="37.515625" customWidth="1"/>
    <col min="7" max="7" width="28.2734375" customWidth="1"/>
  </cols>
  <sheetData>
    <row r="1" ht="18.5" spans="1:7">
      <c r="A1" s="6" t="s">
        <v>0</v>
      </c>
      <c r="B1" s="6" t="s">
        <v>69</v>
      </c>
      <c r="C1" s="6" t="s">
        <v>70</v>
      </c>
      <c r="D1" s="6" t="s">
        <v>71</v>
      </c>
      <c r="E1" s="6" t="s">
        <v>72</v>
      </c>
      <c r="F1" s="6" t="s">
        <v>73</v>
      </c>
      <c r="G1" s="21" t="s">
        <v>74</v>
      </c>
    </row>
    <row r="2" ht="51" spans="1:7">
      <c r="A2" s="22" t="s">
        <v>8</v>
      </c>
      <c r="B2" s="7" t="s">
        <v>9</v>
      </c>
      <c r="C2" s="23" t="s">
        <v>11</v>
      </c>
      <c r="D2" s="24" t="s">
        <v>75</v>
      </c>
      <c r="E2" s="7" t="s">
        <v>76</v>
      </c>
      <c r="F2" s="7" t="s">
        <v>77</v>
      </c>
      <c r="G2" s="25" t="s">
        <v>78</v>
      </c>
    </row>
    <row r="3" ht="51" spans="1:7">
      <c r="A3" s="22" t="s">
        <v>17</v>
      </c>
      <c r="B3" s="7" t="s">
        <v>18</v>
      </c>
      <c r="C3" s="23" t="s">
        <v>20</v>
      </c>
      <c r="D3" s="24" t="s">
        <v>79</v>
      </c>
      <c r="E3" s="7" t="s">
        <v>80</v>
      </c>
      <c r="F3" s="7" t="s">
        <v>81</v>
      </c>
      <c r="G3" s="25" t="s">
        <v>82</v>
      </c>
    </row>
    <row r="4" ht="51" spans="1:7">
      <c r="A4" s="22" t="s">
        <v>24</v>
      </c>
      <c r="B4" s="7" t="s">
        <v>25</v>
      </c>
      <c r="C4" s="23" t="s">
        <v>20</v>
      </c>
      <c r="D4" s="24" t="s">
        <v>75</v>
      </c>
      <c r="E4" s="7" t="s">
        <v>83</v>
      </c>
      <c r="F4" s="7" t="s">
        <v>84</v>
      </c>
      <c r="G4" s="25" t="s">
        <v>85</v>
      </c>
    </row>
    <row r="5" ht="51" spans="1:7">
      <c r="A5" s="22" t="s">
        <v>30</v>
      </c>
      <c r="B5" s="7" t="s">
        <v>31</v>
      </c>
      <c r="C5" s="23" t="s">
        <v>11</v>
      </c>
      <c r="D5" s="24" t="s">
        <v>75</v>
      </c>
      <c r="E5" s="7" t="s">
        <v>86</v>
      </c>
      <c r="F5" s="7" t="s">
        <v>87</v>
      </c>
      <c r="G5" s="25" t="s">
        <v>88</v>
      </c>
    </row>
    <row r="6" ht="63" spans="1:7">
      <c r="A6" s="22" t="s">
        <v>34</v>
      </c>
      <c r="B6" s="7" t="s">
        <v>35</v>
      </c>
      <c r="C6" s="23" t="s">
        <v>11</v>
      </c>
      <c r="D6" s="24" t="s">
        <v>79</v>
      </c>
      <c r="E6" s="7" t="s">
        <v>80</v>
      </c>
      <c r="F6" s="7" t="s">
        <v>89</v>
      </c>
      <c r="G6" s="25" t="s">
        <v>90</v>
      </c>
    </row>
    <row r="7" ht="51" spans="1:7">
      <c r="A7" s="22" t="s">
        <v>39</v>
      </c>
      <c r="B7" s="7" t="s">
        <v>40</v>
      </c>
      <c r="C7" s="23" t="s">
        <v>11</v>
      </c>
      <c r="D7" s="24" t="s">
        <v>75</v>
      </c>
      <c r="E7" s="7" t="s">
        <v>86</v>
      </c>
      <c r="F7" s="7" t="s">
        <v>91</v>
      </c>
      <c r="G7" s="25" t="s">
        <v>92</v>
      </c>
    </row>
    <row r="8" ht="51" spans="1:7">
      <c r="A8" s="22" t="s">
        <v>43</v>
      </c>
      <c r="B8" s="7" t="s">
        <v>44</v>
      </c>
      <c r="C8" s="23" t="s">
        <v>11</v>
      </c>
      <c r="D8" s="24" t="s">
        <v>79</v>
      </c>
      <c r="E8" s="7" t="s">
        <v>80</v>
      </c>
      <c r="F8" s="7" t="s">
        <v>93</v>
      </c>
      <c r="G8" s="25" t="s">
        <v>94</v>
      </c>
    </row>
    <row r="9" ht="51" spans="1:7">
      <c r="A9" s="22" t="s">
        <v>47</v>
      </c>
      <c r="B9" s="7" t="s">
        <v>48</v>
      </c>
      <c r="C9" s="23" t="s">
        <v>11</v>
      </c>
      <c r="D9" s="24" t="s">
        <v>79</v>
      </c>
      <c r="E9" s="7" t="s">
        <v>80</v>
      </c>
      <c r="F9" s="7" t="s">
        <v>95</v>
      </c>
      <c r="G9" s="25" t="s">
        <v>96</v>
      </c>
    </row>
    <row r="10" ht="63" spans="1:7">
      <c r="A10" s="22" t="s">
        <v>51</v>
      </c>
      <c r="B10" s="7" t="s">
        <v>52</v>
      </c>
      <c r="C10" s="23" t="s">
        <v>20</v>
      </c>
      <c r="D10" s="24" t="s">
        <v>75</v>
      </c>
      <c r="E10" s="7" t="s">
        <v>83</v>
      </c>
      <c r="F10" s="7" t="s">
        <v>97</v>
      </c>
      <c r="G10" s="25" t="s">
        <v>98</v>
      </c>
    </row>
    <row r="11" ht="51" spans="1:7">
      <c r="A11" s="22" t="s">
        <v>55</v>
      </c>
      <c r="B11" s="7" t="s">
        <v>56</v>
      </c>
      <c r="C11" s="23" t="s">
        <v>20</v>
      </c>
      <c r="D11" s="24" t="s">
        <v>79</v>
      </c>
      <c r="E11" s="7" t="s">
        <v>80</v>
      </c>
      <c r="F11" s="7" t="s">
        <v>99</v>
      </c>
      <c r="G11" s="25" t="s">
        <v>100</v>
      </c>
    </row>
    <row r="12" ht="51" spans="1:7">
      <c r="A12" s="22" t="s">
        <v>59</v>
      </c>
      <c r="B12" s="7" t="s">
        <v>60</v>
      </c>
      <c r="C12" s="23" t="s">
        <v>11</v>
      </c>
      <c r="D12" s="24" t="s">
        <v>79</v>
      </c>
      <c r="E12" s="7" t="s">
        <v>80</v>
      </c>
      <c r="F12" s="7" t="s">
        <v>101</v>
      </c>
      <c r="G12" s="25" t="s">
        <v>102</v>
      </c>
    </row>
    <row r="13" ht="51" spans="1:7">
      <c r="A13" s="22" t="s">
        <v>63</v>
      </c>
      <c r="B13" s="7" t="s">
        <v>64</v>
      </c>
      <c r="C13" s="23" t="s">
        <v>11</v>
      </c>
      <c r="D13" s="24" t="s">
        <v>103</v>
      </c>
      <c r="E13" s="7" t="s">
        <v>104</v>
      </c>
      <c r="F13" s="7" t="s">
        <v>105</v>
      </c>
      <c r="G13" s="25" t="s">
        <v>106</v>
      </c>
    </row>
    <row r="14" ht="34.75" spans="1:7">
      <c r="A14" s="22" t="s">
        <v>66</v>
      </c>
      <c r="B14" s="7" t="s">
        <v>67</v>
      </c>
      <c r="C14" s="23" t="s">
        <v>20</v>
      </c>
      <c r="D14" s="24" t="s">
        <v>103</v>
      </c>
      <c r="E14" s="7" t="s">
        <v>107</v>
      </c>
      <c r="F14" s="7" t="s">
        <v>108</v>
      </c>
      <c r="G14" s="26" t="s">
        <v>109</v>
      </c>
    </row>
    <row r="15" ht="17.5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zoomScale="81" zoomScaleNormal="81" topLeftCell="B1" workbookViewId="0">
      <selection activeCell="D4" sqref="D4"/>
    </sheetView>
  </sheetViews>
  <sheetFormatPr defaultColWidth="9" defaultRowHeight="16.8"/>
  <cols>
    <col min="1" max="1" width="15.4921875" style="15" customWidth="1"/>
    <col min="2" max="2" width="24.734375" style="15" customWidth="1"/>
    <col min="3" max="4" width="30.7265625" style="15" customWidth="1"/>
    <col min="5" max="5" width="35.6796875" style="16" customWidth="1"/>
    <col min="6" max="6" width="48.953125" style="15" customWidth="1"/>
    <col min="7" max="7" width="45.5703125" style="15" customWidth="1"/>
    <col min="9" max="9" width="26.6015625" customWidth="1"/>
  </cols>
  <sheetData>
    <row r="1" ht="17" spans="1:9">
      <c r="A1" s="17" t="s">
        <v>0</v>
      </c>
      <c r="B1" s="17" t="s">
        <v>1</v>
      </c>
      <c r="C1" s="17" t="s">
        <v>2</v>
      </c>
      <c r="D1" s="17" t="s">
        <v>110</v>
      </c>
      <c r="E1" s="18" t="s">
        <v>4</v>
      </c>
      <c r="F1" s="17" t="s">
        <v>5</v>
      </c>
      <c r="G1" s="17" t="s">
        <v>6</v>
      </c>
      <c r="H1" t="s">
        <v>111</v>
      </c>
      <c r="I1" t="s">
        <v>112</v>
      </c>
    </row>
    <row r="2" ht="84" spans="1:9">
      <c r="A2" s="17" t="s">
        <v>113</v>
      </c>
      <c r="B2" s="17" t="s">
        <v>114</v>
      </c>
      <c r="C2" s="19" t="s">
        <v>115</v>
      </c>
      <c r="D2" s="19" t="s">
        <v>116</v>
      </c>
      <c r="E2" s="18"/>
      <c r="F2" s="18" t="s">
        <v>117</v>
      </c>
      <c r="G2" s="18" t="s">
        <v>118</v>
      </c>
      <c r="H2" s="20">
        <f t="shared" ref="H2:H11" si="0">3-COUNTIF(E2:G2,"")</f>
        <v>2</v>
      </c>
      <c r="I2" s="7" t="s">
        <v>83</v>
      </c>
    </row>
    <row r="3" ht="152" customHeight="1" spans="1:9">
      <c r="A3" s="17" t="s">
        <v>119</v>
      </c>
      <c r="B3" s="17" t="s">
        <v>120</v>
      </c>
      <c r="C3" s="19" t="s">
        <v>121</v>
      </c>
      <c r="D3" s="19" t="s">
        <v>116</v>
      </c>
      <c r="E3" s="18" t="s">
        <v>122</v>
      </c>
      <c r="F3" s="18" t="s">
        <v>123</v>
      </c>
      <c r="G3" s="18" t="s">
        <v>124</v>
      </c>
      <c r="H3" s="20">
        <f t="shared" si="0"/>
        <v>3</v>
      </c>
      <c r="I3" s="7" t="s">
        <v>80</v>
      </c>
    </row>
    <row r="4" ht="185" spans="1:9">
      <c r="A4" s="17" t="s">
        <v>125</v>
      </c>
      <c r="B4" s="17" t="s">
        <v>126</v>
      </c>
      <c r="C4" s="19" t="s">
        <v>127</v>
      </c>
      <c r="D4" s="19" t="s">
        <v>128</v>
      </c>
      <c r="E4" s="18" t="s">
        <v>129</v>
      </c>
      <c r="F4" s="18" t="s">
        <v>130</v>
      </c>
      <c r="G4" s="18" t="s">
        <v>131</v>
      </c>
      <c r="H4" s="20">
        <f t="shared" si="0"/>
        <v>3</v>
      </c>
      <c r="I4" s="7" t="s">
        <v>80</v>
      </c>
    </row>
    <row r="5" ht="135" spans="1:9">
      <c r="A5" s="17" t="s">
        <v>132</v>
      </c>
      <c r="B5" s="17" t="s">
        <v>133</v>
      </c>
      <c r="C5" s="19" t="s">
        <v>134</v>
      </c>
      <c r="D5" s="19" t="s">
        <v>128</v>
      </c>
      <c r="E5" s="18" t="s">
        <v>135</v>
      </c>
      <c r="F5" s="18" t="s">
        <v>136</v>
      </c>
      <c r="G5" s="18" t="s">
        <v>137</v>
      </c>
      <c r="H5" s="20">
        <f t="shared" si="0"/>
        <v>3</v>
      </c>
      <c r="I5" s="7" t="s">
        <v>80</v>
      </c>
    </row>
    <row r="6" ht="101" spans="1:9">
      <c r="A6" s="17" t="s">
        <v>138</v>
      </c>
      <c r="B6" s="17" t="s">
        <v>139</v>
      </c>
      <c r="C6" s="19" t="s">
        <v>140</v>
      </c>
      <c r="D6" s="19" t="s">
        <v>128</v>
      </c>
      <c r="E6" s="18" t="s">
        <v>141</v>
      </c>
      <c r="F6" s="18" t="s">
        <v>142</v>
      </c>
      <c r="G6" s="17"/>
      <c r="H6" s="20">
        <f t="shared" si="0"/>
        <v>2</v>
      </c>
      <c r="I6" s="7" t="s">
        <v>86</v>
      </c>
    </row>
    <row r="7" ht="68" spans="1:9">
      <c r="A7" s="17" t="s">
        <v>143</v>
      </c>
      <c r="B7" s="17" t="s">
        <v>144</v>
      </c>
      <c r="C7" s="19" t="s">
        <v>145</v>
      </c>
      <c r="D7" s="19" t="s">
        <v>128</v>
      </c>
      <c r="E7" s="18" t="s">
        <v>146</v>
      </c>
      <c r="F7" s="17"/>
      <c r="G7" s="17" t="s">
        <v>146</v>
      </c>
      <c r="H7" s="20">
        <f t="shared" si="0"/>
        <v>2</v>
      </c>
      <c r="I7" s="7" t="s">
        <v>76</v>
      </c>
    </row>
    <row r="8" ht="152" customHeight="1" spans="1:9">
      <c r="A8" s="17" t="s">
        <v>147</v>
      </c>
      <c r="B8" s="17" t="s">
        <v>148</v>
      </c>
      <c r="C8" s="19" t="s">
        <v>149</v>
      </c>
      <c r="D8" s="19" t="s">
        <v>150</v>
      </c>
      <c r="E8" s="18"/>
      <c r="F8" s="17" t="s">
        <v>151</v>
      </c>
      <c r="G8" s="18" t="s">
        <v>152</v>
      </c>
      <c r="H8" s="20">
        <f t="shared" si="0"/>
        <v>2</v>
      </c>
      <c r="I8" s="7" t="s">
        <v>83</v>
      </c>
    </row>
    <row r="9" ht="168" spans="1:9">
      <c r="A9" s="17" t="s">
        <v>153</v>
      </c>
      <c r="B9" s="17" t="s">
        <v>154</v>
      </c>
      <c r="C9" s="19" t="s">
        <v>155</v>
      </c>
      <c r="D9" s="19" t="s">
        <v>150</v>
      </c>
      <c r="E9" s="18" t="s">
        <v>156</v>
      </c>
      <c r="F9" s="18" t="s">
        <v>157</v>
      </c>
      <c r="G9" s="18" t="s">
        <v>158</v>
      </c>
      <c r="H9" s="20">
        <f t="shared" si="0"/>
        <v>3</v>
      </c>
      <c r="I9" s="7" t="s">
        <v>80</v>
      </c>
    </row>
    <row r="10" ht="84" spans="1:9">
      <c r="A10" s="17" t="s">
        <v>159</v>
      </c>
      <c r="B10" s="17" t="s">
        <v>160</v>
      </c>
      <c r="C10" s="19" t="s">
        <v>161</v>
      </c>
      <c r="D10" s="19" t="s">
        <v>150</v>
      </c>
      <c r="E10" s="18" t="s">
        <v>162</v>
      </c>
      <c r="F10" s="17"/>
      <c r="G10" s="17" t="s">
        <v>146</v>
      </c>
      <c r="H10" s="20">
        <f t="shared" si="0"/>
        <v>2</v>
      </c>
      <c r="I10" s="7" t="s">
        <v>76</v>
      </c>
    </row>
    <row r="11" ht="84" spans="1:9">
      <c r="A11" s="17" t="s">
        <v>163</v>
      </c>
      <c r="B11" s="17" t="s">
        <v>164</v>
      </c>
      <c r="C11" s="19" t="s">
        <v>165</v>
      </c>
      <c r="D11" s="19" t="s">
        <v>150</v>
      </c>
      <c r="E11" s="18" t="s">
        <v>166</v>
      </c>
      <c r="F11" s="18" t="s">
        <v>167</v>
      </c>
      <c r="G11" s="17" t="s">
        <v>168</v>
      </c>
      <c r="H11" s="20">
        <f t="shared" si="0"/>
        <v>3</v>
      </c>
      <c r="I11" s="7" t="s">
        <v>80</v>
      </c>
    </row>
    <row r="16" ht="152" customHeight="1"/>
    <row r="21" ht="135" customHeight="1"/>
    <row r="25" ht="118" customHeight="1"/>
    <row r="27" ht="152" customHeight="1"/>
    <row r="33" ht="118" customHeight="1"/>
    <row r="35" ht="168"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zoomScale="106" zoomScaleNormal="106" workbookViewId="0">
      <selection activeCell="F2" sqref="F2:F11"/>
    </sheetView>
  </sheetViews>
  <sheetFormatPr defaultColWidth="9" defaultRowHeight="16.8" outlineLevelCol="5"/>
  <cols>
    <col min="1" max="1" width="9" style="5"/>
    <col min="2" max="2" width="25.3046875" style="5" customWidth="1"/>
    <col min="3" max="3" width="25.0546875" style="5" customWidth="1"/>
    <col min="4" max="4" width="16.09375" customWidth="1"/>
    <col min="5" max="5" width="41.671875" customWidth="1"/>
    <col min="6" max="6" width="45.9375" style="5" customWidth="1"/>
  </cols>
  <sheetData>
    <row r="1" ht="17" spans="1:6">
      <c r="A1" s="6" t="s">
        <v>0</v>
      </c>
      <c r="B1" s="6" t="s">
        <v>1</v>
      </c>
      <c r="C1" s="6" t="s">
        <v>169</v>
      </c>
      <c r="D1" s="6" t="s">
        <v>71</v>
      </c>
      <c r="E1" s="6" t="s">
        <v>72</v>
      </c>
      <c r="F1" s="6" t="s">
        <v>73</v>
      </c>
    </row>
    <row r="2" ht="34" spans="1:6">
      <c r="A2" s="7" t="str">
        <f>cross_sector_insights_tk!A2</f>
        <v>TK02</v>
      </c>
      <c r="B2" s="7" t="str">
        <f>cross_sector_insights_tk!B2</f>
        <v>Knowledge Conveyed Through Examples or Demonstration</v>
      </c>
      <c r="C2" s="7" t="str">
        <f>cross_sector_insights_tk!D2</f>
        <v>Relational Tacit Knowledge</v>
      </c>
      <c r="D2" s="9" t="str">
        <f>cross_sector_insights_tk!H2&amp;"/3"</f>
        <v>2/3</v>
      </c>
      <c r="E2" s="9" t="str">
        <f>cross_sector_insights_tk!I2</f>
        <v>Manufacturing; Health Services</v>
      </c>
      <c r="F2" s="7" t="s">
        <v>170</v>
      </c>
    </row>
    <row r="3" ht="34" spans="1:6">
      <c r="A3" s="7" t="str">
        <f>cross_sector_insights_tk!A3</f>
        <v>TK04</v>
      </c>
      <c r="B3" s="7" t="str">
        <f>cross_sector_insights_tk!B3</f>
        <v>Unrecognized or Unarticulated Personal Know-how</v>
      </c>
      <c r="C3" s="7" t="str">
        <f>cross_sector_insights_tk!D3</f>
        <v>Relational Tacit Knowledge</v>
      </c>
      <c r="D3" s="9" t="str">
        <f>cross_sector_insights_tk!H3&amp;"/3"</f>
        <v>3/3</v>
      </c>
      <c r="E3" s="9" t="str">
        <f>cross_sector_insights_tk!I3</f>
        <v>Construction; Manufacturing; Health Services</v>
      </c>
      <c r="F3" s="7" t="s">
        <v>171</v>
      </c>
    </row>
    <row r="4" ht="34" spans="1:6">
      <c r="A4" s="7" t="str">
        <f>cross_sector_insights_tk!A4</f>
        <v>TK05</v>
      </c>
      <c r="B4" s="7" t="str">
        <f>cross_sector_insights_tk!B4</f>
        <v>Practised Motor and Tool-Operation Skill</v>
      </c>
      <c r="C4" s="7" t="str">
        <f>cross_sector_insights_tk!D4</f>
        <v>Somatic Tacit Knowledge</v>
      </c>
      <c r="D4" s="9" t="str">
        <f>cross_sector_insights_tk!H4&amp;"/3"</f>
        <v>3/3</v>
      </c>
      <c r="E4" s="9" t="str">
        <f>cross_sector_insights_tk!I4</f>
        <v>Construction; Manufacturing; Health Services</v>
      </c>
      <c r="F4" s="7" t="s">
        <v>172</v>
      </c>
    </row>
    <row r="5" ht="34" spans="1:6">
      <c r="A5" s="7" t="str">
        <f>cross_sector_insights_tk!A5</f>
        <v>TK06</v>
      </c>
      <c r="B5" s="7" t="str">
        <f>cross_sector_insights_tk!B5</f>
        <v>Trained Sensory and Perceptual Recognition</v>
      </c>
      <c r="C5" s="7" t="str">
        <f>cross_sector_insights_tk!D5</f>
        <v>Somatic Tacit Knowledge</v>
      </c>
      <c r="D5" s="9" t="str">
        <f>cross_sector_insights_tk!H5&amp;"/3"</f>
        <v>3/3</v>
      </c>
      <c r="E5" s="9" t="str">
        <f>cross_sector_insights_tk!I5</f>
        <v>Construction; Manufacturing; Health Services</v>
      </c>
      <c r="F5" s="7" t="s">
        <v>173</v>
      </c>
    </row>
    <row r="6" ht="34" spans="1:6">
      <c r="A6" s="7" t="str">
        <f>cross_sector_insights_tk!A6</f>
        <v>TK07</v>
      </c>
      <c r="B6" s="7" t="str">
        <f>cross_sector_insights_tk!B6</f>
        <v>Embodied Posture, Balance, and Spatial Control</v>
      </c>
      <c r="C6" s="7" t="str">
        <f>cross_sector_insights_tk!D6</f>
        <v>Somatic Tacit Knowledge</v>
      </c>
      <c r="D6" s="9" t="str">
        <f>cross_sector_insights_tk!H6&amp;"/3"</f>
        <v>2/3</v>
      </c>
      <c r="E6" s="9" t="str">
        <f>cross_sector_insights_tk!I6</f>
        <v>Construction; Manufacturing</v>
      </c>
      <c r="F6" s="7" t="s">
        <v>174</v>
      </c>
    </row>
    <row r="7" ht="51" spans="1:6">
      <c r="A7" s="7" t="str">
        <f>cross_sector_insights_tk!A7</f>
        <v>TK08</v>
      </c>
      <c r="B7" s="7" t="str">
        <f>cross_sector_insights_tk!B7</f>
        <v>Immediate Embodied Response to Changing Conditions</v>
      </c>
      <c r="C7" s="7" t="str">
        <f>cross_sector_insights_tk!D7</f>
        <v>Somatic Tacit Knowledge</v>
      </c>
      <c r="D7" s="9" t="str">
        <f>cross_sector_insights_tk!H7&amp;"/3"</f>
        <v>2/3</v>
      </c>
      <c r="E7" s="9" t="str">
        <f>cross_sector_insights_tk!I7</f>
        <v>Construction; Health Services</v>
      </c>
      <c r="F7" s="7" t="s">
        <v>175</v>
      </c>
    </row>
    <row r="8" ht="34" spans="1:6">
      <c r="A8" s="7" t="str">
        <f>cross_sector_insights_tk!A8</f>
        <v>TK09</v>
      </c>
      <c r="B8" s="7" t="str">
        <f>cross_sector_insights_tk!B8</f>
        <v>Shared Professional Language and Contextual Meaning</v>
      </c>
      <c r="C8" s="7" t="str">
        <f>cross_sector_insights_tk!D8</f>
        <v>Collective Tacit Knowledge</v>
      </c>
      <c r="D8" s="9" t="str">
        <f>cross_sector_insights_tk!H8&amp;"/3"</f>
        <v>2/3</v>
      </c>
      <c r="E8" s="9" t="str">
        <f>cross_sector_insights_tk!I8</f>
        <v>Manufacturing; Health Services</v>
      </c>
      <c r="F8" s="7" t="s">
        <v>176</v>
      </c>
    </row>
    <row r="9" ht="34" spans="1:6">
      <c r="A9" s="7" t="str">
        <f>cross_sector_insights_tk!A9</f>
        <v>TK10</v>
      </c>
      <c r="B9" s="7" t="str">
        <f>cross_sector_insights_tk!B9</f>
        <v>Shared Professional Norms and Standards of Judgment</v>
      </c>
      <c r="C9" s="7" t="str">
        <f>cross_sector_insights_tk!D9</f>
        <v>Collective Tacit Knowledge</v>
      </c>
      <c r="D9" s="9" t="str">
        <f>cross_sector_insights_tk!H9&amp;"/3"</f>
        <v>3/3</v>
      </c>
      <c r="E9" s="9" t="str">
        <f>cross_sector_insights_tk!I9</f>
        <v>Construction; Manufacturing; Health Services</v>
      </c>
      <c r="F9" s="7" t="s">
        <v>177</v>
      </c>
    </row>
    <row r="10" ht="51" spans="1:6">
      <c r="A10" s="7" t="str">
        <f>cross_sector_insights_tk!A10</f>
        <v>TK11</v>
      </c>
      <c r="B10" s="7" t="str">
        <f>cross_sector_insights_tk!B10</f>
        <v>Informal Coordination, Communication, and Escalation Know-how</v>
      </c>
      <c r="C10" s="7" t="str">
        <f>cross_sector_insights_tk!D10</f>
        <v>Collective Tacit Knowledge</v>
      </c>
      <c r="D10" s="9" t="str">
        <f>cross_sector_insights_tk!H10&amp;"/3"</f>
        <v>2/3</v>
      </c>
      <c r="E10" s="9" t="str">
        <f>cross_sector_insights_tk!I10</f>
        <v>Construction; Health Services</v>
      </c>
      <c r="F10" s="7" t="s">
        <v>178</v>
      </c>
    </row>
    <row r="11" ht="34" spans="1:6">
      <c r="A11" s="7" t="str">
        <f>cross_sector_insights_tk!A11</f>
        <v>TK12</v>
      </c>
      <c r="B11" s="7" t="str">
        <f>cross_sector_insights_tk!B11</f>
        <v>Organizational Culture and Unwritten Working Practices</v>
      </c>
      <c r="C11" s="7" t="str">
        <f>cross_sector_insights_tk!D11</f>
        <v>Collective Tacit Knowledge</v>
      </c>
      <c r="D11" s="9" t="str">
        <f>cross_sector_insights_tk!H11&amp;"/3"</f>
        <v>3/3</v>
      </c>
      <c r="E11" s="9" t="str">
        <f>cross_sector_insights_tk!I11</f>
        <v>Construction; Manufacturing; Health Services</v>
      </c>
      <c r="F11" s="7" t="s">
        <v>179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B2" sqref="B2"/>
    </sheetView>
  </sheetViews>
  <sheetFormatPr defaultColWidth="8.4375" defaultRowHeight="16.8" outlineLevelCol="7"/>
  <cols>
    <col min="1" max="1" width="12.109375" style="13" customWidth="1"/>
    <col min="2" max="2" width="25.515625" style="13" customWidth="1"/>
    <col min="3" max="3" width="44.6640625" style="13" customWidth="1"/>
    <col min="4" max="4" width="23.171875" style="14" customWidth="1"/>
    <col min="5" max="5" width="50.515625" style="14" customWidth="1"/>
    <col min="6" max="6" width="32.9375" style="14" customWidth="1"/>
    <col min="7" max="7" width="23.0390625" style="14" customWidth="1"/>
    <col min="8" max="16384" width="8.4375" style="13"/>
  </cols>
  <sheetData>
    <row r="1" s="13" customFormat="1" ht="17" spans="1:8">
      <c r="A1" s="13" t="s">
        <v>180</v>
      </c>
      <c r="B1" s="13" t="s">
        <v>181</v>
      </c>
      <c r="C1" s="13" t="s">
        <v>182</v>
      </c>
      <c r="D1" s="14" t="s">
        <v>183</v>
      </c>
      <c r="E1" s="14" t="s">
        <v>184</v>
      </c>
      <c r="F1" s="14" t="s">
        <v>185</v>
      </c>
      <c r="G1" s="14" t="s">
        <v>186</v>
      </c>
    </row>
    <row r="2" s="13" customFormat="1" ht="409.5" spans="1:8">
      <c r="A2" s="13" t="s">
        <v>187</v>
      </c>
      <c r="B2" s="13" t="s">
        <v>188</v>
      </c>
      <c r="C2" s="14" t="s">
        <v>189</v>
      </c>
      <c r="D2" s="14" t="s">
        <v>190</v>
      </c>
      <c r="E2" s="14" t="s">
        <v>191</v>
      </c>
      <c r="F2" s="14" t="s">
        <v>192</v>
      </c>
      <c r="G2" s="14" t="s">
        <v>193</v>
      </c>
    </row>
    <row r="3" s="13" customFormat="1" ht="409.5" spans="1:8">
      <c r="A3" s="13" t="s">
        <v>194</v>
      </c>
      <c r="B3" s="13" t="s">
        <v>188</v>
      </c>
      <c r="C3" s="14" t="s">
        <v>195</v>
      </c>
      <c r="D3" s="14" t="s">
        <v>190</v>
      </c>
      <c r="E3" s="14" t="s">
        <v>196</v>
      </c>
      <c r="F3" s="14" t="s">
        <v>197</v>
      </c>
      <c r="G3" s="14" t="s">
        <v>198</v>
      </c>
      <c r="H3" s="14"/>
    </row>
    <row r="4" s="13" customFormat="1" ht="409.5" spans="1:8">
      <c r="A4" s="13" t="s">
        <v>199</v>
      </c>
      <c r="B4" s="13" t="s">
        <v>188</v>
      </c>
      <c r="C4" s="14" t="s">
        <v>200</v>
      </c>
      <c r="D4" s="14" t="s">
        <v>11</v>
      </c>
      <c r="E4" s="14" t="s">
        <v>201</v>
      </c>
      <c r="F4" s="14" t="s">
        <v>202</v>
      </c>
      <c r="G4" s="14" t="s">
        <v>203</v>
      </c>
      <c r="H4" s="14"/>
    </row>
    <row r="5" s="13" customFormat="1" ht="409.5" spans="1:8">
      <c r="A5" s="13" t="s">
        <v>204</v>
      </c>
      <c r="B5" s="13" t="s">
        <v>188</v>
      </c>
      <c r="C5" s="14" t="s">
        <v>205</v>
      </c>
      <c r="D5" s="14" t="s">
        <v>11</v>
      </c>
      <c r="E5" s="14" t="s">
        <v>206</v>
      </c>
      <c r="F5" s="14" t="s">
        <v>207</v>
      </c>
      <c r="G5" s="14" t="s">
        <v>208</v>
      </c>
      <c r="H5" s="14"/>
    </row>
    <row r="6" s="13" customFormat="1" ht="409.5" spans="1:8">
      <c r="A6" s="13" t="s">
        <v>209</v>
      </c>
      <c r="B6" s="13" t="s">
        <v>188</v>
      </c>
      <c r="C6" s="14" t="s">
        <v>210</v>
      </c>
      <c r="D6" s="14" t="s">
        <v>11</v>
      </c>
      <c r="E6" s="14" t="s">
        <v>211</v>
      </c>
      <c r="F6" s="14" t="s">
        <v>212</v>
      </c>
      <c r="G6" s="14" t="s">
        <v>213</v>
      </c>
      <c r="H6" s="14"/>
    </row>
    <row r="7" s="13" customFormat="1" ht="409.5" spans="1:8">
      <c r="A7" s="13" t="s">
        <v>214</v>
      </c>
      <c r="B7" s="13" t="s">
        <v>188</v>
      </c>
      <c r="C7" s="14" t="s">
        <v>215</v>
      </c>
      <c r="D7" s="14" t="s">
        <v>11</v>
      </c>
      <c r="E7" s="14" t="s">
        <v>216</v>
      </c>
      <c r="F7" s="14" t="s">
        <v>217</v>
      </c>
      <c r="G7" s="14" t="s">
        <v>218</v>
      </c>
    </row>
    <row r="8" s="13" customFormat="1" ht="409.5" spans="1:8">
      <c r="A8" s="13" t="s">
        <v>219</v>
      </c>
      <c r="B8" s="13" t="s">
        <v>188</v>
      </c>
      <c r="C8" s="14" t="s">
        <v>220</v>
      </c>
      <c r="D8" s="14" t="s">
        <v>11</v>
      </c>
      <c r="E8" s="14" t="s">
        <v>221</v>
      </c>
      <c r="F8" s="14" t="s">
        <v>222</v>
      </c>
      <c r="G8" s="14" t="s">
        <v>223</v>
      </c>
      <c r="H8" s="14"/>
    </row>
    <row r="9" s="13" customFormat="1" ht="409.5" spans="1:8">
      <c r="A9" s="13" t="s">
        <v>224</v>
      </c>
      <c r="B9" s="13" t="s">
        <v>188</v>
      </c>
      <c r="C9" s="14" t="s">
        <v>225</v>
      </c>
      <c r="D9" s="14" t="s">
        <v>11</v>
      </c>
      <c r="E9" s="14" t="s">
        <v>226</v>
      </c>
      <c r="F9" s="14" t="s">
        <v>227</v>
      </c>
      <c r="G9" s="14" t="s">
        <v>228</v>
      </c>
      <c r="H9" s="14"/>
    </row>
    <row r="10" s="13" customFormat="1" ht="409.5" spans="1:8">
      <c r="A10" s="13" t="s">
        <v>229</v>
      </c>
      <c r="B10" s="13" t="s">
        <v>188</v>
      </c>
      <c r="C10" s="14" t="s">
        <v>230</v>
      </c>
      <c r="D10" s="14" t="s">
        <v>11</v>
      </c>
      <c r="E10" s="14" t="s">
        <v>231</v>
      </c>
      <c r="F10" s="14" t="s">
        <v>232</v>
      </c>
      <c r="G10" s="14" t="s">
        <v>233</v>
      </c>
      <c r="H10" s="14"/>
    </row>
    <row r="11" s="13" customFormat="1" spans="1:8">
      <c r="C11" s="14"/>
      <c r="D11" s="14"/>
      <c r="E11" s="14"/>
      <c r="F11" s="14"/>
      <c r="G11" s="14"/>
    </row>
    <row r="12" s="13" customFormat="1" spans="1:8">
      <c r="C12" s="14"/>
      <c r="D12" s="14"/>
      <c r="E12" s="14"/>
      <c r="F12" s="14"/>
      <c r="G12" s="1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workbookViewId="0">
      <selection activeCell="F1" sqref="F$1:F$1048576"/>
    </sheetView>
  </sheetViews>
  <sheetFormatPr defaultColWidth="8.4375" defaultRowHeight="16.8" outlineLevelCol="6"/>
  <cols>
    <col min="1" max="1" width="16.6640625" style="13" customWidth="1"/>
    <col min="2" max="2" width="19.0078125" style="13" customWidth="1"/>
    <col min="3" max="3" width="24.8671875" style="13" customWidth="1"/>
    <col min="4" max="4" width="27.8671875" style="13" customWidth="1"/>
    <col min="5" max="5" width="26.0390625" style="13" customWidth="1"/>
    <col min="6" max="6" width="41.1484375" style="13" customWidth="1"/>
    <col min="7" max="16384" width="8.4375" style="13"/>
  </cols>
  <sheetData>
    <row r="1" s="13" customFormat="1" spans="1:7">
      <c r="A1" s="13" t="s">
        <v>180</v>
      </c>
      <c r="B1" s="13" t="s">
        <v>181</v>
      </c>
      <c r="C1" s="13" t="s">
        <v>182</v>
      </c>
      <c r="D1" s="13" t="s">
        <v>183</v>
      </c>
      <c r="E1" s="13" t="s">
        <v>184</v>
      </c>
      <c r="F1" s="13" t="s">
        <v>185</v>
      </c>
      <c r="G1" s="13" t="s">
        <v>186</v>
      </c>
    </row>
    <row r="2" s="13" customFormat="1" ht="409.5" spans="1:7">
      <c r="A2" s="13" t="s">
        <v>234</v>
      </c>
      <c r="B2" s="13" t="s">
        <v>188</v>
      </c>
      <c r="C2" s="14" t="s">
        <v>235</v>
      </c>
      <c r="D2" s="13" t="s">
        <v>190</v>
      </c>
      <c r="E2" s="13" t="s">
        <v>236</v>
      </c>
      <c r="F2" s="14" t="s">
        <v>237</v>
      </c>
      <c r="G2" s="13" t="s">
        <v>238</v>
      </c>
    </row>
    <row r="3" s="13" customFormat="1" ht="409.5" spans="1:7">
      <c r="A3" s="13" t="s">
        <v>239</v>
      </c>
      <c r="B3" s="13" t="s">
        <v>188</v>
      </c>
      <c r="C3" s="14" t="s">
        <v>240</v>
      </c>
      <c r="D3" s="13" t="s">
        <v>190</v>
      </c>
      <c r="E3" s="13" t="s">
        <v>241</v>
      </c>
      <c r="F3" s="13" t="s">
        <v>222</v>
      </c>
      <c r="G3" s="13" t="s">
        <v>242</v>
      </c>
    </row>
    <row r="4" s="13" customFormat="1" ht="409.5" spans="1:7">
      <c r="A4" s="13" t="s">
        <v>243</v>
      </c>
      <c r="B4" s="13" t="s">
        <v>188</v>
      </c>
      <c r="C4" s="14" t="s">
        <v>244</v>
      </c>
      <c r="D4" s="13" t="s">
        <v>190</v>
      </c>
      <c r="E4" s="13" t="s">
        <v>245</v>
      </c>
      <c r="F4" s="14" t="s">
        <v>246</v>
      </c>
      <c r="G4" s="13" t="s">
        <v>247</v>
      </c>
    </row>
    <row r="5" s="13" customFormat="1" ht="409.5" spans="1:7">
      <c r="A5" s="13" t="s">
        <v>248</v>
      </c>
      <c r="B5" s="13" t="s">
        <v>188</v>
      </c>
      <c r="C5" s="14" t="s">
        <v>249</v>
      </c>
      <c r="D5" s="13" t="s">
        <v>190</v>
      </c>
      <c r="E5" s="13" t="s">
        <v>250</v>
      </c>
      <c r="F5" s="14" t="s">
        <v>251</v>
      </c>
      <c r="G5" s="13" t="s">
        <v>252</v>
      </c>
    </row>
    <row r="6" s="13" customFormat="1" ht="409.5" spans="1:7">
      <c r="A6" s="13" t="s">
        <v>253</v>
      </c>
      <c r="B6" s="13" t="s">
        <v>188</v>
      </c>
      <c r="C6" s="14" t="s">
        <v>254</v>
      </c>
      <c r="D6" s="13" t="s">
        <v>190</v>
      </c>
      <c r="E6" s="13" t="s">
        <v>255</v>
      </c>
      <c r="F6" s="14" t="s">
        <v>256</v>
      </c>
      <c r="G6" s="13" t="s">
        <v>257</v>
      </c>
    </row>
    <row r="7" s="13" customFormat="1" ht="409.5" spans="1:7">
      <c r="A7" s="13" t="s">
        <v>258</v>
      </c>
      <c r="B7" s="13" t="s">
        <v>188</v>
      </c>
      <c r="C7" s="14" t="s">
        <v>259</v>
      </c>
      <c r="D7" s="13" t="s">
        <v>11</v>
      </c>
      <c r="E7" s="13" t="s">
        <v>260</v>
      </c>
      <c r="F7" s="14" t="s">
        <v>237</v>
      </c>
      <c r="G7" s="13" t="s">
        <v>261</v>
      </c>
    </row>
    <row r="8" s="13" customFormat="1" ht="409.5" spans="1:7">
      <c r="A8" s="13" t="s">
        <v>262</v>
      </c>
      <c r="B8" s="13" t="s">
        <v>188</v>
      </c>
      <c r="C8" s="14" t="s">
        <v>263</v>
      </c>
      <c r="D8" s="13" t="s">
        <v>11</v>
      </c>
      <c r="E8" s="13" t="s">
        <v>264</v>
      </c>
      <c r="F8" s="14" t="s">
        <v>265</v>
      </c>
      <c r="G8" s="13" t="s">
        <v>266</v>
      </c>
    </row>
    <row r="9" s="13" customFormat="1" ht="409.5" spans="1:7">
      <c r="A9" s="13" t="s">
        <v>267</v>
      </c>
      <c r="B9" s="13" t="s">
        <v>188</v>
      </c>
      <c r="C9" s="14" t="s">
        <v>268</v>
      </c>
      <c r="D9" s="13" t="s">
        <v>11</v>
      </c>
      <c r="E9" s="13" t="s">
        <v>269</v>
      </c>
      <c r="F9" s="14" t="s">
        <v>270</v>
      </c>
      <c r="G9" s="13" t="s">
        <v>271</v>
      </c>
    </row>
    <row r="10" s="13" customFormat="1" ht="409.5" spans="1:7">
      <c r="A10" s="13" t="s">
        <v>272</v>
      </c>
      <c r="B10" s="13" t="s">
        <v>188</v>
      </c>
      <c r="C10" s="14" t="s">
        <v>273</v>
      </c>
      <c r="D10" s="13" t="s">
        <v>11</v>
      </c>
      <c r="E10" s="13" t="s">
        <v>274</v>
      </c>
      <c r="F10" s="13" t="s">
        <v>217</v>
      </c>
      <c r="G10" s="13" t="s">
        <v>275</v>
      </c>
    </row>
    <row r="11" s="13" customFormat="1" ht="409.5" spans="1:7">
      <c r="A11" s="13" t="s">
        <v>276</v>
      </c>
      <c r="B11" s="13" t="s">
        <v>188</v>
      </c>
      <c r="C11" s="14" t="s">
        <v>277</v>
      </c>
      <c r="D11" s="13" t="s">
        <v>11</v>
      </c>
      <c r="E11" s="13" t="s">
        <v>278</v>
      </c>
      <c r="F11" s="14" t="s">
        <v>279</v>
      </c>
      <c r="G11" s="13" t="s">
        <v>280</v>
      </c>
    </row>
    <row r="12" s="13" customFormat="1" ht="409.5" spans="1:7">
      <c r="A12" s="13" t="s">
        <v>281</v>
      </c>
      <c r="B12" s="13" t="s">
        <v>188</v>
      </c>
      <c r="C12" s="14" t="s">
        <v>282</v>
      </c>
      <c r="D12" s="13" t="s">
        <v>11</v>
      </c>
      <c r="E12" s="13" t="s">
        <v>283</v>
      </c>
      <c r="F12" s="14" t="s">
        <v>251</v>
      </c>
      <c r="G12" s="13" t="s">
        <v>284</v>
      </c>
    </row>
    <row r="19" spans="6:6">
      <c r="F19" s="13" t="s">
        <v>285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zoomScale="84" zoomScaleNormal="84" workbookViewId="0">
      <selection activeCell="D2" sqref="D2"/>
    </sheetView>
  </sheetViews>
  <sheetFormatPr defaultColWidth="8.4375" defaultRowHeight="16.8" outlineLevelCol="6"/>
  <cols>
    <col min="3" max="3" width="58.65625" customWidth="1"/>
    <col min="4" max="4" width="26.296875" customWidth="1"/>
    <col min="5" max="5" width="25.7734375" customWidth="1"/>
    <col min="6" max="6" width="46.3515625" customWidth="1"/>
    <col min="7" max="7" width="39.578125" customWidth="1"/>
  </cols>
  <sheetData>
    <row r="1" spans="1:7">
      <c r="A1" t="s">
        <v>180</v>
      </c>
      <c r="B1" t="s">
        <v>181</v>
      </c>
      <c r="C1" t="s">
        <v>182</v>
      </c>
      <c r="D1" t="s">
        <v>183</v>
      </c>
      <c r="E1" t="s">
        <v>184</v>
      </c>
      <c r="F1" t="s">
        <v>185</v>
      </c>
      <c r="G1" t="s">
        <v>186</v>
      </c>
    </row>
    <row r="2" ht="409.5" spans="1:7">
      <c r="A2" t="s">
        <v>286</v>
      </c>
      <c r="B2" t="s">
        <v>188</v>
      </c>
      <c r="C2" s="5" t="s">
        <v>287</v>
      </c>
      <c r="D2" t="s">
        <v>190</v>
      </c>
      <c r="E2" t="s">
        <v>288</v>
      </c>
      <c r="F2" s="5" t="s">
        <v>289</v>
      </c>
      <c r="G2" t="s">
        <v>290</v>
      </c>
    </row>
    <row r="3" ht="409.5" spans="1:7">
      <c r="A3" t="s">
        <v>291</v>
      </c>
      <c r="B3" t="s">
        <v>188</v>
      </c>
      <c r="C3" s="5" t="s">
        <v>292</v>
      </c>
      <c r="D3" t="s">
        <v>190</v>
      </c>
      <c r="E3" t="s">
        <v>293</v>
      </c>
      <c r="F3" t="s">
        <v>232</v>
      </c>
      <c r="G3" t="s">
        <v>294</v>
      </c>
    </row>
    <row r="4" ht="409.5" spans="1:7">
      <c r="A4" t="s">
        <v>295</v>
      </c>
      <c r="B4" t="s">
        <v>188</v>
      </c>
      <c r="C4" s="5" t="s">
        <v>296</v>
      </c>
      <c r="D4" t="s">
        <v>190</v>
      </c>
      <c r="E4" t="s">
        <v>297</v>
      </c>
      <c r="F4" s="5" t="s">
        <v>298</v>
      </c>
      <c r="G4" t="s">
        <v>299</v>
      </c>
    </row>
    <row r="5" ht="409.5" spans="1:7">
      <c r="A5" t="s">
        <v>300</v>
      </c>
      <c r="B5" t="s">
        <v>188</v>
      </c>
      <c r="C5" s="5" t="s">
        <v>301</v>
      </c>
      <c r="D5" t="s">
        <v>190</v>
      </c>
      <c r="E5" t="s">
        <v>302</v>
      </c>
      <c r="F5" t="s">
        <v>222</v>
      </c>
      <c r="G5" t="s">
        <v>303</v>
      </c>
    </row>
    <row r="6" ht="409.5" spans="1:7">
      <c r="A6" t="s">
        <v>304</v>
      </c>
      <c r="B6" t="s">
        <v>188</v>
      </c>
      <c r="C6" s="5" t="s">
        <v>305</v>
      </c>
      <c r="D6" t="s">
        <v>11</v>
      </c>
      <c r="E6" t="s">
        <v>306</v>
      </c>
      <c r="F6" s="5" t="s">
        <v>307</v>
      </c>
      <c r="G6" t="s">
        <v>308</v>
      </c>
    </row>
    <row r="7" ht="409.5" spans="1:7">
      <c r="A7" t="s">
        <v>309</v>
      </c>
      <c r="B7" t="s">
        <v>188</v>
      </c>
      <c r="C7" s="5" t="s">
        <v>310</v>
      </c>
      <c r="D7" t="s">
        <v>11</v>
      </c>
      <c r="E7" t="s">
        <v>311</v>
      </c>
      <c r="F7" s="5" t="s">
        <v>212</v>
      </c>
      <c r="G7" t="s">
        <v>312</v>
      </c>
    </row>
    <row r="8" ht="409.5" spans="1:7">
      <c r="A8" t="s">
        <v>313</v>
      </c>
      <c r="B8" t="s">
        <v>188</v>
      </c>
      <c r="C8" s="5" t="s">
        <v>314</v>
      </c>
      <c r="D8" t="s">
        <v>11</v>
      </c>
      <c r="E8" t="s">
        <v>315</v>
      </c>
      <c r="F8" s="5" t="s">
        <v>316</v>
      </c>
      <c r="G8" t="s">
        <v>317</v>
      </c>
    </row>
    <row r="9" ht="409.5" spans="1:7">
      <c r="A9" t="s">
        <v>318</v>
      </c>
      <c r="B9" t="s">
        <v>188</v>
      </c>
      <c r="C9" s="5" t="s">
        <v>319</v>
      </c>
      <c r="D9" t="s">
        <v>11</v>
      </c>
      <c r="E9" t="s">
        <v>320</v>
      </c>
      <c r="F9" t="s">
        <v>321</v>
      </c>
      <c r="G9" t="s">
        <v>322</v>
      </c>
    </row>
    <row r="10" ht="409.5" spans="1:7">
      <c r="A10" t="s">
        <v>323</v>
      </c>
      <c r="B10" t="s">
        <v>188</v>
      </c>
      <c r="C10" s="5" t="s">
        <v>324</v>
      </c>
      <c r="D10" t="s">
        <v>11</v>
      </c>
      <c r="E10" t="s">
        <v>325</v>
      </c>
      <c r="F10" t="s">
        <v>217</v>
      </c>
      <c r="G10" t="s">
        <v>326</v>
      </c>
    </row>
    <row r="11" ht="409.5" spans="1:7">
      <c r="A11" t="s">
        <v>327</v>
      </c>
      <c r="B11" t="s">
        <v>188</v>
      </c>
      <c r="C11" s="5" t="s">
        <v>328</v>
      </c>
      <c r="D11" t="s">
        <v>11</v>
      </c>
      <c r="E11" t="s">
        <v>329</v>
      </c>
      <c r="F11" t="s">
        <v>330</v>
      </c>
      <c r="G11" t="s">
        <v>331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zoomScale="90" zoomScaleNormal="90" topLeftCell="F2" workbookViewId="0">
      <selection activeCell="G2" sqref="G2"/>
    </sheetView>
  </sheetViews>
  <sheetFormatPr defaultColWidth="9" defaultRowHeight="16.8" outlineLevelRow="5" outlineLevelCol="7"/>
  <cols>
    <col min="1" max="1" width="27.6875" customWidth="1"/>
    <col min="2" max="2" width="33.7265625" customWidth="1"/>
    <col min="3" max="3" width="46.21875" customWidth="1"/>
    <col min="4" max="4" width="73.78125" customWidth="1"/>
    <col min="5" max="5" width="50.5234375" customWidth="1"/>
    <col min="6" max="6" width="16.7421875" customWidth="1"/>
    <col min="7" max="7" width="70.4765625" customWidth="1"/>
    <col min="8" max="8" width="79.5703125" customWidth="1"/>
  </cols>
  <sheetData>
    <row r="1" ht="21" customHeight="1" spans="1:8">
      <c r="A1" s="10" t="s">
        <v>332</v>
      </c>
      <c r="B1" s="10" t="s">
        <v>333</v>
      </c>
      <c r="C1" s="10" t="s">
        <v>334</v>
      </c>
      <c r="D1" t="s">
        <v>335</v>
      </c>
    </row>
    <row r="2" ht="409.5" spans="1:8">
      <c r="A2" s="11" t="s">
        <v>336</v>
      </c>
      <c r="B2" s="5" t="s">
        <v>337</v>
      </c>
      <c r="C2" s="5" t="s">
        <v>338</v>
      </c>
      <c r="D2" s="5" t="s">
        <v>339</v>
      </c>
      <c r="E2" s="5" t="s">
        <v>340</v>
      </c>
      <c r="F2" s="5" t="s">
        <v>341</v>
      </c>
      <c r="G2" s="5" t="s">
        <v>342</v>
      </c>
      <c r="H2" s="5" t="s">
        <v>343</v>
      </c>
    </row>
    <row r="3" ht="409.5" spans="1:8">
      <c r="A3" s="11" t="s">
        <v>344</v>
      </c>
      <c r="B3" s="5" t="s">
        <v>345</v>
      </c>
      <c r="C3" s="5" t="s">
        <v>346</v>
      </c>
      <c r="D3" s="5" t="s">
        <v>347</v>
      </c>
      <c r="E3" s="5" t="s">
        <v>348</v>
      </c>
      <c r="F3" s="5" t="s">
        <v>38</v>
      </c>
      <c r="G3" s="1" t="s">
        <v>349</v>
      </c>
      <c r="H3" s="5" t="s">
        <v>350</v>
      </c>
    </row>
    <row r="4" ht="409.5" spans="1:8">
      <c r="A4" s="11" t="s">
        <v>351</v>
      </c>
      <c r="B4" s="5" t="s">
        <v>352</v>
      </c>
      <c r="C4" s="5" t="s">
        <v>353</v>
      </c>
      <c r="D4" s="5" t="s">
        <v>354</v>
      </c>
      <c r="E4" s="5" t="s">
        <v>355</v>
      </c>
      <c r="F4" s="5"/>
    </row>
    <row r="5" ht="409.5" spans="1:8">
      <c r="A5" t="s">
        <v>356</v>
      </c>
      <c r="E5" s="5" t="s">
        <v>357</v>
      </c>
    </row>
    <row r="6" ht="409.5" spans="1:8">
      <c r="A6" t="s">
        <v>358</v>
      </c>
      <c r="D6" s="12" t="s">
        <v>359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C24" sqref="C24"/>
    </sheetView>
  </sheetViews>
  <sheetFormatPr defaultColWidth="9" defaultRowHeight="16.8" outlineLevelCol="2"/>
  <cols>
    <col min="1" max="1" width="17.578125" style="5" customWidth="1"/>
    <col min="2" max="2" width="55.3359375" style="5" customWidth="1"/>
    <col min="3" max="3" width="32.9453125" customWidth="1"/>
  </cols>
  <sheetData>
    <row r="1" ht="17" spans="1:3">
      <c r="A1" s="6" t="s">
        <v>360</v>
      </c>
      <c r="B1" s="6" t="s">
        <v>361</v>
      </c>
      <c r="C1" s="6" t="s">
        <v>362</v>
      </c>
    </row>
    <row r="2" ht="17" spans="1:3">
      <c r="A2" s="7" t="s">
        <v>363</v>
      </c>
      <c r="B2" s="8" t="s">
        <v>364</v>
      </c>
      <c r="C2" s="9" t="s">
        <v>336</v>
      </c>
    </row>
    <row r="3" ht="17" spans="1:3">
      <c r="A3" s="7" t="s">
        <v>365</v>
      </c>
      <c r="B3" s="8" t="s">
        <v>366</v>
      </c>
      <c r="C3" s="9" t="s">
        <v>336</v>
      </c>
    </row>
    <row r="4" ht="17" spans="1:3">
      <c r="A4" s="7" t="s">
        <v>367</v>
      </c>
      <c r="B4" s="8" t="s">
        <v>368</v>
      </c>
      <c r="C4" s="9" t="s">
        <v>336</v>
      </c>
    </row>
    <row r="5" ht="17" spans="1:3">
      <c r="A5" s="7" t="s">
        <v>369</v>
      </c>
      <c r="B5" s="8" t="s">
        <v>370</v>
      </c>
      <c r="C5" s="9" t="s">
        <v>336</v>
      </c>
    </row>
    <row r="6" ht="17" spans="1:3">
      <c r="A6" s="7" t="s">
        <v>371</v>
      </c>
      <c r="B6" s="8" t="s">
        <v>372</v>
      </c>
      <c r="C6" s="9" t="s">
        <v>336</v>
      </c>
    </row>
    <row r="7" ht="17" spans="1:3">
      <c r="A7" s="7" t="s">
        <v>373</v>
      </c>
      <c r="B7" s="8" t="s">
        <v>374</v>
      </c>
      <c r="C7" s="9" t="s">
        <v>344</v>
      </c>
    </row>
    <row r="8" ht="17" spans="1:3">
      <c r="A8" s="7" t="s">
        <v>375</v>
      </c>
      <c r="B8" s="8" t="s">
        <v>376</v>
      </c>
      <c r="C8" s="9" t="s">
        <v>344</v>
      </c>
    </row>
    <row r="9" ht="17" spans="1:3">
      <c r="A9" s="7" t="s">
        <v>377</v>
      </c>
      <c r="B9" s="8" t="s">
        <v>378</v>
      </c>
      <c r="C9" s="9" t="s">
        <v>344</v>
      </c>
    </row>
    <row r="10" ht="17" spans="1:3">
      <c r="A10" s="7" t="s">
        <v>379</v>
      </c>
      <c r="B10" s="8" t="s">
        <v>380</v>
      </c>
      <c r="C10" s="9" t="s">
        <v>344</v>
      </c>
    </row>
    <row r="11" ht="17" spans="1:3">
      <c r="A11" s="7" t="s">
        <v>381</v>
      </c>
      <c r="B11" s="8" t="s">
        <v>382</v>
      </c>
      <c r="C11" s="9" t="s">
        <v>344</v>
      </c>
    </row>
    <row r="12" ht="17" spans="1:3">
      <c r="A12" s="7" t="s">
        <v>383</v>
      </c>
      <c r="B12" s="8" t="s">
        <v>384</v>
      </c>
      <c r="C12" s="9" t="s">
        <v>344</v>
      </c>
    </row>
    <row r="13" ht="17" spans="1:3">
      <c r="A13" s="7" t="s">
        <v>385</v>
      </c>
      <c r="B13" s="8" t="s">
        <v>386</v>
      </c>
      <c r="C13" s="9" t="s">
        <v>344</v>
      </c>
    </row>
    <row r="14" ht="17" spans="1:3">
      <c r="A14" s="7" t="s">
        <v>387</v>
      </c>
      <c r="B14" s="8" t="s">
        <v>388</v>
      </c>
      <c r="C14" s="9" t="s">
        <v>344</v>
      </c>
    </row>
    <row r="15" ht="17" spans="1:3">
      <c r="A15" s="7" t="s">
        <v>389</v>
      </c>
      <c r="B15" s="8" t="s">
        <v>390</v>
      </c>
      <c r="C15" s="9" t="s">
        <v>344</v>
      </c>
    </row>
    <row r="16" ht="17" spans="1:3">
      <c r="A16" s="7" t="s">
        <v>391</v>
      </c>
      <c r="B16" s="8" t="s">
        <v>392</v>
      </c>
      <c r="C16" s="9" t="s">
        <v>344</v>
      </c>
    </row>
    <row r="17" ht="17" spans="1:3">
      <c r="A17" s="7" t="s">
        <v>393</v>
      </c>
      <c r="B17" s="8" t="s">
        <v>394</v>
      </c>
      <c r="C17" s="9" t="s">
        <v>344</v>
      </c>
    </row>
    <row r="18" ht="17" spans="1:3">
      <c r="A18" s="7" t="s">
        <v>395</v>
      </c>
      <c r="B18" s="8" t="s">
        <v>396</v>
      </c>
      <c r="C18" s="9" t="s">
        <v>344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C3" sqref="C3"/>
    </sheetView>
  </sheetViews>
  <sheetFormatPr defaultColWidth="9" defaultRowHeight="16.8" outlineLevelCol="4"/>
  <cols>
    <col min="1" max="1" width="12.96875" style="1" customWidth="1"/>
    <col min="2" max="3" width="39.84375" style="1" customWidth="1"/>
    <col min="4" max="4" width="49.2109375" style="1" customWidth="1"/>
    <col min="5" max="5" width="26.4375" style="1" customWidth="1"/>
    <col min="6" max="16384" width="9" style="1"/>
  </cols>
  <sheetData>
    <row r="1" ht="17" spans="1:5">
      <c r="A1" s="2" t="s">
        <v>180</v>
      </c>
      <c r="B1" s="2" t="s">
        <v>397</v>
      </c>
      <c r="C1" s="2" t="s">
        <v>398</v>
      </c>
      <c r="D1" s="2" t="s">
        <v>399</v>
      </c>
    </row>
    <row r="2" ht="135" spans="1:5">
      <c r="A2" s="1" t="s">
        <v>400</v>
      </c>
      <c r="B2" s="1" t="s">
        <v>401</v>
      </c>
      <c r="C2" s="3" t="s">
        <v>402</v>
      </c>
      <c r="D2" s="1" t="s">
        <v>403</v>
      </c>
      <c r="E2" s="1" t="s">
        <v>404</v>
      </c>
    </row>
    <row r="3" ht="68" spans="1:5">
      <c r="A3" s="1" t="s">
        <v>405</v>
      </c>
      <c r="B3" s="1" t="s">
        <v>406</v>
      </c>
      <c r="C3" s="3" t="s">
        <v>407</v>
      </c>
      <c r="D3" s="1" t="s">
        <v>408</v>
      </c>
    </row>
    <row r="4" ht="68" spans="1:5">
      <c r="A4" s="1" t="s">
        <v>409</v>
      </c>
      <c r="B4" s="1" t="s">
        <v>410</v>
      </c>
      <c r="C4" s="3" t="s">
        <v>411</v>
      </c>
      <c r="D4" s="1" t="s">
        <v>412</v>
      </c>
    </row>
    <row r="5" ht="68" spans="1:5">
      <c r="A5" s="1" t="s">
        <v>413</v>
      </c>
      <c r="B5" s="1" t="s">
        <v>414</v>
      </c>
      <c r="C5" s="4" t="s">
        <v>415</v>
      </c>
      <c r="D5" s="1" t="s">
        <v>416</v>
      </c>
    </row>
    <row r="6" ht="68" spans="1:5">
      <c r="A6" s="1" t="s">
        <v>417</v>
      </c>
      <c r="B6" s="1" t="s">
        <v>418</v>
      </c>
      <c r="C6" s="3" t="s">
        <v>419</v>
      </c>
      <c r="D6" s="1" t="s">
        <v>420</v>
      </c>
    </row>
    <row r="7" ht="51" spans="1:5">
      <c r="A7" s="1" t="s">
        <v>421</v>
      </c>
      <c r="B7" s="1" t="s">
        <v>422</v>
      </c>
      <c r="C7" s="3" t="s">
        <v>423</v>
      </c>
      <c r="D7" s="1" t="s">
        <v>424</v>
      </c>
    </row>
    <row r="8" ht="68" spans="1:5">
      <c r="A8" s="1" t="s">
        <v>425</v>
      </c>
      <c r="B8" s="1" t="s">
        <v>426</v>
      </c>
      <c r="C8" s="3" t="s">
        <v>427</v>
      </c>
      <c r="D8" s="1" t="s">
        <v>428</v>
      </c>
    </row>
    <row r="9" ht="68" spans="1:5">
      <c r="A9" s="1" t="s">
        <v>429</v>
      </c>
      <c r="B9" s="1" t="s">
        <v>430</v>
      </c>
      <c r="C9" s="3" t="s">
        <v>431</v>
      </c>
      <c r="D9" s="1" t="s">
        <v>432</v>
      </c>
    </row>
    <row r="10" ht="68" spans="1:5">
      <c r="A10" s="1" t="s">
        <v>433</v>
      </c>
      <c r="B10" s="1" t="s">
        <v>434</v>
      </c>
      <c r="C10" s="3" t="s">
        <v>435</v>
      </c>
      <c r="D10" s="1" t="s">
        <v>436</v>
      </c>
    </row>
    <row r="11" ht="68" spans="1:5">
      <c r="A11" s="1" t="s">
        <v>437</v>
      </c>
      <c r="B11" s="1" t="s">
        <v>438</v>
      </c>
      <c r="C11" s="3" t="s">
        <v>439</v>
      </c>
      <c r="D11" s="1" t="s">
        <v>440</v>
      </c>
    </row>
    <row r="12" ht="68" spans="1:5">
      <c r="A12" s="1" t="s">
        <v>441</v>
      </c>
      <c r="B12" s="1" t="s">
        <v>442</v>
      </c>
      <c r="C12" s="3" t="s">
        <v>443</v>
      </c>
      <c r="D12" s="1" t="s">
        <v>444</v>
      </c>
    </row>
    <row r="13" ht="68" spans="1:5">
      <c r="A13" s="1" t="s">
        <v>445</v>
      </c>
      <c r="B13" s="1" t="s">
        <v>446</v>
      </c>
      <c r="C13" s="3" t="s">
        <v>447</v>
      </c>
      <c r="D13" s="1" t="s">
        <v>448</v>
      </c>
    </row>
    <row r="14" ht="68" spans="1:5">
      <c r="A14" s="1" t="s">
        <v>449</v>
      </c>
      <c r="B14" s="1" t="s">
        <v>450</v>
      </c>
      <c r="C14" s="3" t="s">
        <v>451</v>
      </c>
      <c r="D14" s="1" t="s">
        <v>452</v>
      </c>
    </row>
    <row r="15" ht="68" spans="1:5">
      <c r="A15" s="1" t="s">
        <v>453</v>
      </c>
      <c r="B15" s="1" t="s">
        <v>454</v>
      </c>
      <c r="C15" s="3" t="s">
        <v>455</v>
      </c>
      <c r="D15" s="1" t="s">
        <v>456</v>
      </c>
    </row>
    <row r="16" ht="68" spans="1:5">
      <c r="A16" s="1" t="s">
        <v>457</v>
      </c>
      <c r="B16" s="1" t="s">
        <v>458</v>
      </c>
      <c r="C16" s="3" t="s">
        <v>459</v>
      </c>
      <c r="D16" s="1" t="s">
        <v>460</v>
      </c>
    </row>
    <row r="17" ht="68" spans="1:4">
      <c r="A17" s="1" t="s">
        <v>461</v>
      </c>
      <c r="B17" s="1" t="s">
        <v>462</v>
      </c>
      <c r="C17" s="3" t="s">
        <v>463</v>
      </c>
      <c r="D17" s="1" t="s">
        <v>464</v>
      </c>
    </row>
    <row r="18" ht="68" spans="1:4">
      <c r="A18" s="1" t="s">
        <v>465</v>
      </c>
      <c r="B18" s="1" t="s">
        <v>466</v>
      </c>
      <c r="C18" s="3" t="s">
        <v>467</v>
      </c>
      <c r="D18" s="1" t="s">
        <v>468</v>
      </c>
    </row>
    <row r="19" ht="68" spans="1:4">
      <c r="A19" s="1" t="s">
        <v>469</v>
      </c>
      <c r="B19" s="1" t="s">
        <v>470</v>
      </c>
      <c r="C19" s="3" t="s">
        <v>471</v>
      </c>
      <c r="D19" s="1" t="s">
        <v>472</v>
      </c>
    </row>
    <row r="20" ht="68" spans="1:4">
      <c r="A20" s="1" t="s">
        <v>473</v>
      </c>
      <c r="B20" s="1" t="s">
        <v>474</v>
      </c>
      <c r="C20" s="3" t="s">
        <v>475</v>
      </c>
      <c r="D20" s="1" t="s">
        <v>476</v>
      </c>
    </row>
    <row r="21" ht="68" spans="1:4">
      <c r="A21" s="1" t="s">
        <v>477</v>
      </c>
      <c r="B21" s="1" t="s">
        <v>478</v>
      </c>
      <c r="C21" s="3" t="s">
        <v>479</v>
      </c>
      <c r="D21" s="1" t="s">
        <v>480</v>
      </c>
    </row>
    <row r="22" ht="68" spans="1:4">
      <c r="A22" s="1" t="s">
        <v>481</v>
      </c>
      <c r="B22" s="1" t="s">
        <v>482</v>
      </c>
      <c r="C22" s="3" t="s">
        <v>483</v>
      </c>
      <c r="D22" s="1" t="s">
        <v>484</v>
      </c>
    </row>
    <row r="23" ht="68" spans="1:4">
      <c r="A23" s="1" t="s">
        <v>485</v>
      </c>
      <c r="B23" s="1" t="s">
        <v>486</v>
      </c>
      <c r="C23" s="3" t="s">
        <v>487</v>
      </c>
      <c r="D23" s="1" t="s">
        <v>488</v>
      </c>
    </row>
    <row r="24" ht="84" spans="1:4">
      <c r="A24" s="1" t="s">
        <v>489</v>
      </c>
      <c r="B24" s="1" t="s">
        <v>490</v>
      </c>
      <c r="C24" s="3" t="s">
        <v>491</v>
      </c>
      <c r="D24" s="1" t="s">
        <v>492</v>
      </c>
    </row>
    <row r="25" ht="68" spans="1:4">
      <c r="A25" s="1" t="s">
        <v>493</v>
      </c>
      <c r="B25" s="1" t="s">
        <v>494</v>
      </c>
      <c r="C25" s="3" t="s">
        <v>495</v>
      </c>
      <c r="D25" s="1" t="s">
        <v>496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10</vt:i4>
      </vt:variant>
    </vt:vector>
  </HeadingPairs>
  <TitlesOfParts>
    <vt:vector size="10" baseType="lpstr">
      <vt:lpstr>cross_sector_insights_tp</vt:lpstr>
      <vt:lpstr>TP Perspectives</vt:lpstr>
      <vt:lpstr>cross_sector_insights_tk</vt:lpstr>
      <vt:lpstr>TK Perspectives</vt:lpstr>
      <vt:lpstr>s001_insights</vt:lpstr>
      <vt:lpstr>s002_insights</vt:lpstr>
      <vt:lpstr>s003_insights</vt:lpstr>
      <vt:lpstr>pattern type</vt:lpstr>
      <vt:lpstr>potenial patterns</vt:lpstr>
      <vt:lpstr>TP07–TK10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meimei</dc:creator>
  <cp:lastModifiedBy>WPS_1732950773</cp:lastModifiedBy>
  <dcterms:created xsi:type="dcterms:W3CDTF">2026-09-07T00:21:00Z</dcterms:created>
  <dcterms:modified xsi:type="dcterms:W3CDTF">2026-09-27T20:40:07Z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4F270ABBBF795E1FEED09B6A3F7CA10C_41</vt:lpwstr>
  </property>
  <property fmtid="{D5CDD505-2E9C-101B-9397-08002B2CF9AE}" pid="3" name="KSOProductBuildVer">
    <vt:lpwstr>1033-12.1.24031.24031</vt:lpwstr>
  </property>
  <property fmtid="{D5CDD505-2E9C-101B-9397-08002B2CF9AE}" pid="4" name="CalculationRule">
    <vt:i4>1</vt:i4>
  </property>
</Properties>
</file>